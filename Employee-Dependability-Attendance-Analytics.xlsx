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23040" windowHeight="10452" activeTab="1"/>
  </bookViews>
  <sheets>
    <sheet name="dependability" sheetId="1" r:id="rId1"/>
    <sheet name="Calculation sheet" sheetId="2" r:id="rId2"/>
    <sheet name="Dashboard" sheetId="3" r:id="rId3"/>
  </sheets>
  <calcPr calcId="0"/>
</workbook>
</file>

<file path=xl/calcChain.xml><?xml version="1.0" encoding="utf-8"?>
<calcChain xmlns="http://schemas.openxmlformats.org/spreadsheetml/2006/main">
  <c r="I30" i="2" l="1"/>
  <c r="H30" i="2"/>
  <c r="J10" i="2"/>
  <c r="I28" i="2"/>
  <c r="I29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" i="2"/>
  <c r="K15" i="2"/>
  <c r="F30" i="2"/>
  <c r="J15" i="2"/>
  <c r="E30" i="2"/>
  <c r="K10" i="2"/>
  <c r="B31" i="2"/>
  <c r="C30" i="2"/>
  <c r="D30" i="2"/>
  <c r="G30" i="2"/>
</calcChain>
</file>

<file path=xl/sharedStrings.xml><?xml version="1.0" encoding="utf-8"?>
<sst xmlns="http://schemas.openxmlformats.org/spreadsheetml/2006/main" count="81" uniqueCount="61">
  <si>
    <t>Date</t>
  </si>
  <si>
    <t>EmployeeID</t>
  </si>
  <si>
    <t>Scheduled_Hours</t>
  </si>
  <si>
    <t>Worked_Hours</t>
  </si>
  <si>
    <t>Late_Login_Min</t>
  </si>
  <si>
    <t>Early_Logout_Min</t>
  </si>
  <si>
    <t>Absent_Flag</t>
  </si>
  <si>
    <t>Overtime_Hours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</si>
  <si>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</si>
  <si>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</si>
  <si>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</si>
  <si>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</si>
  <si>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</si>
  <si>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</si>
  <si>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</si>
  <si>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</si>
  <si>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</si>
  <si>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</si>
  <si>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</si>
  <si>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</si>
  <si>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</si>
  <si>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</si>
  <si>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</si>
  <si>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</si>
  <si>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</si>
  <si>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</si>
  <si>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Absenteeism %</t>
  </si>
  <si>
    <t>Adherence %</t>
  </si>
  <si>
    <t>Early Logout %</t>
  </si>
  <si>
    <t>Overtime Trend</t>
  </si>
  <si>
    <t>Late_Login%</t>
  </si>
  <si>
    <t>Total Employees</t>
  </si>
  <si>
    <t>Reliablity score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</si>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</sst>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 i="0">
                <a:effectLst/>
              </a:rPr>
              <a:t>Analysis of Hours Worked Relative to Schedule</a:t>
            </a:r>
            <a:endParaRPr lang="en-IN" b="0" i="0">
              <a:effectLst/>
            </a:endParaRPr>
          </a:p>
        </c:rich>
      </c:tx>
      <c:layout>
        <c:manualLayout>
          <c:xMode val="edge"/>
          <c:yMode val="edge"/>
          <c:x val="0.13355555555555557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'Calculation sheet'!$C$1</c:f>
              <c:strCache>
                <c:ptCount val="1"/>
                <c:pt idx="0">
                  <c:v>Scheduled_Hours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'Calculation sheet'!$B$2:$B$29</c:f>
              <c:strCache>
                <c:ptCount val="28"/>
                <c:pt idx="0">
                  <c:v>E01</c:v>
                </c:pt>
                <c:pt idx="1">
                  <c:v>E02</c:v>
                </c:pt>
                <c:pt idx="2">
                  <c:v>E03</c:v>
                </c:pt>
                <c:pt idx="3">
                  <c:v>E04</c:v>
                </c:pt>
                <c:pt idx="4">
                  <c:v>E05</c:v>
                </c:pt>
                <c:pt idx="5">
                  <c:v>E06</c:v>
                </c:pt>
                <c:pt idx="6">
                  <c:v>E07</c:v>
                </c:pt>
                <c:pt idx="7">
                  <c:v>E08</c:v>
                </c:pt>
                <c:pt idx="8">
                  <c:v>E09</c:v>
                </c:pt>
                <c:pt idx="9">
                  <c:v>E10</c:v>
                </c:pt>
                <c:pt idx="10">
                  <c:v>E11</c:v>
                </c:pt>
                <c:pt idx="11">
                  <c:v>E12</c:v>
                </c:pt>
                <c:pt idx="12">
                  <c:v>E13</c:v>
                </c:pt>
                <c:pt idx="13">
                  <c:v>E14</c:v>
                </c:pt>
                <c:pt idx="14">
                  <c:v>E15</c:v>
                </c:pt>
                <c:pt idx="15">
                  <c:v>E16</c:v>
                </c:pt>
                <c:pt idx="16">
                  <c:v>E17</c:v>
                </c:pt>
                <c:pt idx="17">
                  <c:v>E18</c:v>
                </c:pt>
                <c:pt idx="18">
                  <c:v>E19</c:v>
                </c:pt>
                <c:pt idx="19">
                  <c:v>E20</c:v>
                </c:pt>
                <c:pt idx="20">
                  <c:v>E21</c:v>
                </c:pt>
                <c:pt idx="21">
                  <c:v>E22</c:v>
                </c:pt>
                <c:pt idx="22">
                  <c:v>E23</c:v>
                </c:pt>
                <c:pt idx="23">
                  <c:v>E24</c:v>
                </c:pt>
                <c:pt idx="24">
                  <c:v>E25</c:v>
                </c:pt>
                <c:pt idx="25">
                  <c:v>E26</c:v>
                </c:pt>
                <c:pt idx="26">
                  <c:v>E27</c:v>
                </c:pt>
                <c:pt idx="27">
                  <c:v>E28</c:v>
                </c:pt>
              </c:strCache>
            </c:strRef>
          </c:cat>
          <c:val>
            <c:numRef>
              <c:f>'Calculation sheet'!$C$2:$C$29</c:f>
              <c:numCache>
                <c:formatCode>General</c:formatCode>
                <c:ptCount val="28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  <c:pt idx="19">
                  <c:v>8</c:v>
                </c:pt>
                <c:pt idx="20">
                  <c:v>8</c:v>
                </c:pt>
                <c:pt idx="21">
                  <c:v>8</c:v>
                </c:pt>
                <c:pt idx="22">
                  <c:v>8</c:v>
                </c:pt>
                <c:pt idx="23">
                  <c:v>8</c:v>
                </c:pt>
                <c:pt idx="24">
                  <c:v>8</c:v>
                </c:pt>
                <c:pt idx="25">
                  <c:v>8</c:v>
                </c:pt>
                <c:pt idx="26">
                  <c:v>8</c:v>
                </c:pt>
                <c:pt idx="27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11-4D47-A640-5492A0820FF6}"/>
            </c:ext>
          </c:extLst>
        </c:ser>
        <c:ser>
          <c:idx val="1"/>
          <c:order val="1"/>
          <c:tx>
            <c:strRef>
              <c:f>'Calculation sheet'!$D$1</c:f>
              <c:strCache>
                <c:ptCount val="1"/>
                <c:pt idx="0">
                  <c:v>Worked_Hours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'Calculation sheet'!$B$2:$B$29</c:f>
              <c:strCache>
                <c:ptCount val="28"/>
                <c:pt idx="0">
                  <c:v>E01</c:v>
                </c:pt>
                <c:pt idx="1">
                  <c:v>E02</c:v>
                </c:pt>
                <c:pt idx="2">
                  <c:v>E03</c:v>
                </c:pt>
                <c:pt idx="3">
                  <c:v>E04</c:v>
                </c:pt>
                <c:pt idx="4">
                  <c:v>E05</c:v>
                </c:pt>
                <c:pt idx="5">
                  <c:v>E06</c:v>
                </c:pt>
                <c:pt idx="6">
                  <c:v>E07</c:v>
                </c:pt>
                <c:pt idx="7">
                  <c:v>E08</c:v>
                </c:pt>
                <c:pt idx="8">
                  <c:v>E09</c:v>
                </c:pt>
                <c:pt idx="9">
                  <c:v>E10</c:v>
                </c:pt>
                <c:pt idx="10">
                  <c:v>E11</c:v>
                </c:pt>
                <c:pt idx="11">
                  <c:v>E12</c:v>
                </c:pt>
                <c:pt idx="12">
                  <c:v>E13</c:v>
                </c:pt>
                <c:pt idx="13">
                  <c:v>E14</c:v>
                </c:pt>
                <c:pt idx="14">
                  <c:v>E15</c:v>
                </c:pt>
                <c:pt idx="15">
                  <c:v>E16</c:v>
                </c:pt>
                <c:pt idx="16">
                  <c:v>E17</c:v>
                </c:pt>
                <c:pt idx="17">
                  <c:v>E18</c:v>
                </c:pt>
                <c:pt idx="18">
                  <c:v>E19</c:v>
                </c:pt>
                <c:pt idx="19">
                  <c:v>E20</c:v>
                </c:pt>
                <c:pt idx="20">
                  <c:v>E21</c:v>
                </c:pt>
                <c:pt idx="21">
                  <c:v>E22</c:v>
                </c:pt>
                <c:pt idx="22">
                  <c:v>E23</c:v>
                </c:pt>
                <c:pt idx="23">
                  <c:v>E24</c:v>
                </c:pt>
                <c:pt idx="24">
                  <c:v>E25</c:v>
                </c:pt>
                <c:pt idx="25">
                  <c:v>E26</c:v>
                </c:pt>
                <c:pt idx="26">
                  <c:v>E27</c:v>
                </c:pt>
                <c:pt idx="27">
                  <c:v>E28</c:v>
                </c:pt>
              </c:strCache>
            </c:strRef>
          </c:cat>
          <c:val>
            <c:numRef>
              <c:f>'Calculation sheet'!$D$2:$D$29</c:f>
              <c:numCache>
                <c:formatCode>General</c:formatCode>
                <c:ptCount val="28"/>
                <c:pt idx="0">
                  <c:v>8</c:v>
                </c:pt>
                <c:pt idx="1">
                  <c:v>7</c:v>
                </c:pt>
                <c:pt idx="2">
                  <c:v>0</c:v>
                </c:pt>
                <c:pt idx="3">
                  <c:v>9</c:v>
                </c:pt>
                <c:pt idx="4">
                  <c:v>8</c:v>
                </c:pt>
                <c:pt idx="5">
                  <c:v>6</c:v>
                </c:pt>
                <c:pt idx="6">
                  <c:v>0</c:v>
                </c:pt>
                <c:pt idx="7">
                  <c:v>9</c:v>
                </c:pt>
                <c:pt idx="8">
                  <c:v>7</c:v>
                </c:pt>
                <c:pt idx="9">
                  <c:v>8</c:v>
                </c:pt>
                <c:pt idx="10">
                  <c:v>0</c:v>
                </c:pt>
                <c:pt idx="11">
                  <c:v>10</c:v>
                </c:pt>
                <c:pt idx="12">
                  <c:v>0</c:v>
                </c:pt>
                <c:pt idx="13">
                  <c:v>7</c:v>
                </c:pt>
                <c:pt idx="14">
                  <c:v>0</c:v>
                </c:pt>
                <c:pt idx="15">
                  <c:v>9</c:v>
                </c:pt>
                <c:pt idx="16">
                  <c:v>9</c:v>
                </c:pt>
                <c:pt idx="17">
                  <c:v>9</c:v>
                </c:pt>
                <c:pt idx="18">
                  <c:v>7</c:v>
                </c:pt>
                <c:pt idx="19">
                  <c:v>9</c:v>
                </c:pt>
                <c:pt idx="20">
                  <c:v>9</c:v>
                </c:pt>
                <c:pt idx="21">
                  <c:v>0</c:v>
                </c:pt>
                <c:pt idx="22">
                  <c:v>9</c:v>
                </c:pt>
                <c:pt idx="23">
                  <c:v>9</c:v>
                </c:pt>
                <c:pt idx="24">
                  <c:v>8</c:v>
                </c:pt>
                <c:pt idx="25">
                  <c:v>9</c:v>
                </c:pt>
                <c:pt idx="26">
                  <c:v>9</c:v>
                </c:pt>
                <c:pt idx="27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11-4D47-A640-5492A0820F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512351"/>
        <c:axId val="359506527"/>
      </c:lineChart>
      <c:catAx>
        <c:axId val="3595123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Employee ID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506527"/>
        <c:crosses val="autoZero"/>
        <c:auto val="1"/>
        <c:lblAlgn val="ctr"/>
        <c:lblOffset val="100"/>
        <c:noMultiLvlLbl val="0"/>
      </c:catAx>
      <c:valAx>
        <c:axId val="359506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Hours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512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6"/>
          <c:order val="6"/>
          <c:tx>
            <c:strRef>
              <c:f>'Calculation sheet'!$I$1</c:f>
              <c:strCache>
                <c:ptCount val="1"/>
                <c:pt idx="0">
                  <c:v>Reliablity score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'Calculation sheet'!$B$2:$B$29</c:f>
              <c:strCache>
                <c:ptCount val="28"/>
                <c:pt idx="0">
                  <c:v>E01</c:v>
                </c:pt>
                <c:pt idx="1">
                  <c:v>E02</c:v>
                </c:pt>
                <c:pt idx="2">
                  <c:v>E03</c:v>
                </c:pt>
                <c:pt idx="3">
                  <c:v>E04</c:v>
                </c:pt>
                <c:pt idx="4">
                  <c:v>E05</c:v>
                </c:pt>
                <c:pt idx="5">
                  <c:v>E06</c:v>
                </c:pt>
                <c:pt idx="6">
                  <c:v>E07</c:v>
                </c:pt>
                <c:pt idx="7">
                  <c:v>E08</c:v>
                </c:pt>
                <c:pt idx="8">
                  <c:v>E09</c:v>
                </c:pt>
                <c:pt idx="9">
                  <c:v>E10</c:v>
                </c:pt>
                <c:pt idx="10">
                  <c:v>E11</c:v>
                </c:pt>
                <c:pt idx="11">
                  <c:v>E12</c:v>
                </c:pt>
                <c:pt idx="12">
                  <c:v>E13</c:v>
                </c:pt>
                <c:pt idx="13">
                  <c:v>E14</c:v>
                </c:pt>
                <c:pt idx="14">
                  <c:v>E15</c:v>
                </c:pt>
                <c:pt idx="15">
                  <c:v>E16</c:v>
                </c:pt>
                <c:pt idx="16">
                  <c:v>E17</c:v>
                </c:pt>
                <c:pt idx="17">
                  <c:v>E18</c:v>
                </c:pt>
                <c:pt idx="18">
                  <c:v>E19</c:v>
                </c:pt>
                <c:pt idx="19">
                  <c:v>E20</c:v>
                </c:pt>
                <c:pt idx="20">
                  <c:v>E21</c:v>
                </c:pt>
                <c:pt idx="21">
                  <c:v>E22</c:v>
                </c:pt>
                <c:pt idx="22">
                  <c:v>E23</c:v>
                </c:pt>
                <c:pt idx="23">
                  <c:v>E24</c:v>
                </c:pt>
                <c:pt idx="24">
                  <c:v>E25</c:v>
                </c:pt>
                <c:pt idx="25">
                  <c:v>E26</c:v>
                </c:pt>
                <c:pt idx="26">
                  <c:v>E27</c:v>
                </c:pt>
                <c:pt idx="27">
                  <c:v>E28</c:v>
                </c:pt>
              </c:strCache>
            </c:strRef>
          </c:cat>
          <c:val>
            <c:numRef>
              <c:f>'Calculation sheet'!$I$2:$I$29</c:f>
              <c:numCache>
                <c:formatCode>General</c:formatCode>
                <c:ptCount val="28"/>
                <c:pt idx="0">
                  <c:v>100</c:v>
                </c:pt>
                <c:pt idx="1">
                  <c:v>98</c:v>
                </c:pt>
                <c:pt idx="2">
                  <c:v>99.5</c:v>
                </c:pt>
                <c:pt idx="3">
                  <c:v>100</c:v>
                </c:pt>
                <c:pt idx="4">
                  <c:v>98.5</c:v>
                </c:pt>
                <c:pt idx="5">
                  <c:v>99</c:v>
                </c:pt>
                <c:pt idx="6">
                  <c:v>99.5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99.5</c:v>
                </c:pt>
                <c:pt idx="11">
                  <c:v>100</c:v>
                </c:pt>
                <c:pt idx="12">
                  <c:v>99.5</c:v>
                </c:pt>
                <c:pt idx="13">
                  <c:v>97</c:v>
                </c:pt>
                <c:pt idx="14">
                  <c:v>99.5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99.5</c:v>
                </c:pt>
                <c:pt idx="22">
                  <c:v>99.5</c:v>
                </c:pt>
                <c:pt idx="23">
                  <c:v>100</c:v>
                </c:pt>
                <c:pt idx="24">
                  <c:v>100</c:v>
                </c:pt>
                <c:pt idx="25">
                  <c:v>99</c:v>
                </c:pt>
                <c:pt idx="26">
                  <c:v>100</c:v>
                </c:pt>
                <c:pt idx="27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05C-4BFF-B962-C06621818F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0673375"/>
        <c:axId val="30067420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'Calculation sheet'!$C$1</c15:sqref>
                        </c15:formulaRef>
                      </c:ext>
                    </c:extLst>
                    <c:strCache>
                      <c:ptCount val="1"/>
                      <c:pt idx="0">
                        <c:v>Scheduled_Hours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'Calculation sheet'!$B$2:$B$29</c15:sqref>
                        </c15:formulaRef>
                      </c:ext>
                    </c:extLst>
                    <c:strCache>
                      <c:ptCount val="28"/>
                      <c:pt idx="0">
                        <c:v>E01</c:v>
                      </c:pt>
                      <c:pt idx="1">
                        <c:v>E02</c:v>
                      </c:pt>
                      <c:pt idx="2">
                        <c:v>E03</c:v>
                      </c:pt>
                      <c:pt idx="3">
                        <c:v>E04</c:v>
                      </c:pt>
                      <c:pt idx="4">
                        <c:v>E05</c:v>
                      </c:pt>
                      <c:pt idx="5">
                        <c:v>E06</c:v>
                      </c:pt>
                      <c:pt idx="6">
                        <c:v>E07</c:v>
                      </c:pt>
                      <c:pt idx="7">
                        <c:v>E08</c:v>
                      </c:pt>
                      <c:pt idx="8">
                        <c:v>E09</c:v>
                      </c:pt>
                      <c:pt idx="9">
                        <c:v>E10</c:v>
                      </c:pt>
                      <c:pt idx="10">
                        <c:v>E11</c:v>
                      </c:pt>
                      <c:pt idx="11">
                        <c:v>E12</c:v>
                      </c:pt>
                      <c:pt idx="12">
                        <c:v>E13</c:v>
                      </c:pt>
                      <c:pt idx="13">
                        <c:v>E14</c:v>
                      </c:pt>
                      <c:pt idx="14">
                        <c:v>E15</c:v>
                      </c:pt>
                      <c:pt idx="15">
                        <c:v>E16</c:v>
                      </c:pt>
                      <c:pt idx="16">
                        <c:v>E17</c:v>
                      </c:pt>
                      <c:pt idx="17">
                        <c:v>E18</c:v>
                      </c:pt>
                      <c:pt idx="18">
                        <c:v>E19</c:v>
                      </c:pt>
                      <c:pt idx="19">
                        <c:v>E20</c:v>
                      </c:pt>
                      <c:pt idx="20">
                        <c:v>E21</c:v>
                      </c:pt>
                      <c:pt idx="21">
                        <c:v>E22</c:v>
                      </c:pt>
                      <c:pt idx="22">
                        <c:v>E23</c:v>
                      </c:pt>
                      <c:pt idx="23">
                        <c:v>E24</c:v>
                      </c:pt>
                      <c:pt idx="24">
                        <c:v>E25</c:v>
                      </c:pt>
                      <c:pt idx="25">
                        <c:v>E26</c:v>
                      </c:pt>
                      <c:pt idx="26">
                        <c:v>E27</c:v>
                      </c:pt>
                      <c:pt idx="27">
                        <c:v>E28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'Calculation sheet'!$C$2:$C$29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8</c:v>
                      </c:pt>
                      <c:pt idx="1">
                        <c:v>8</c:v>
                      </c:pt>
                      <c:pt idx="2">
                        <c:v>8</c:v>
                      </c:pt>
                      <c:pt idx="3">
                        <c:v>8</c:v>
                      </c:pt>
                      <c:pt idx="4">
                        <c:v>8</c:v>
                      </c:pt>
                      <c:pt idx="5">
                        <c:v>8</c:v>
                      </c:pt>
                      <c:pt idx="6">
                        <c:v>8</c:v>
                      </c:pt>
                      <c:pt idx="7">
                        <c:v>8</c:v>
                      </c:pt>
                      <c:pt idx="8">
                        <c:v>8</c:v>
                      </c:pt>
                      <c:pt idx="9">
                        <c:v>8</c:v>
                      </c:pt>
                      <c:pt idx="10">
                        <c:v>8</c:v>
                      </c:pt>
                      <c:pt idx="11">
                        <c:v>8</c:v>
                      </c:pt>
                      <c:pt idx="12">
                        <c:v>8</c:v>
                      </c:pt>
                      <c:pt idx="13">
                        <c:v>8</c:v>
                      </c:pt>
                      <c:pt idx="14">
                        <c:v>8</c:v>
                      </c:pt>
                      <c:pt idx="15">
                        <c:v>8</c:v>
                      </c:pt>
                      <c:pt idx="16">
                        <c:v>8</c:v>
                      </c:pt>
                      <c:pt idx="17">
                        <c:v>8</c:v>
                      </c:pt>
                      <c:pt idx="18">
                        <c:v>8</c:v>
                      </c:pt>
                      <c:pt idx="19">
                        <c:v>8</c:v>
                      </c:pt>
                      <c:pt idx="20">
                        <c:v>8</c:v>
                      </c:pt>
                      <c:pt idx="21">
                        <c:v>8</c:v>
                      </c:pt>
                      <c:pt idx="22">
                        <c:v>8</c:v>
                      </c:pt>
                      <c:pt idx="23">
                        <c:v>8</c:v>
                      </c:pt>
                      <c:pt idx="24">
                        <c:v>8</c:v>
                      </c:pt>
                      <c:pt idx="25">
                        <c:v>8</c:v>
                      </c:pt>
                      <c:pt idx="26">
                        <c:v>8</c:v>
                      </c:pt>
                      <c:pt idx="27">
                        <c:v>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305C-4BFF-B962-C06621818F81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'Calculation sheet'!$D$1</c15:sqref>
                        </c15:formulaRef>
                      </c:ext>
                    </c:extLst>
                    <c:strCache>
                      <c:ptCount val="1"/>
                      <c:pt idx="0">
                        <c:v>Worked_Hours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'Calculation sheet'!$B$2:$B$29</c15:sqref>
                        </c15:formulaRef>
                      </c:ext>
                    </c:extLst>
                    <c:strCache>
                      <c:ptCount val="28"/>
                      <c:pt idx="0">
                        <c:v>E01</c:v>
                      </c:pt>
                      <c:pt idx="1">
                        <c:v>E02</c:v>
                      </c:pt>
                      <c:pt idx="2">
                        <c:v>E03</c:v>
                      </c:pt>
                      <c:pt idx="3">
                        <c:v>E04</c:v>
                      </c:pt>
                      <c:pt idx="4">
                        <c:v>E05</c:v>
                      </c:pt>
                      <c:pt idx="5">
                        <c:v>E06</c:v>
                      </c:pt>
                      <c:pt idx="6">
                        <c:v>E07</c:v>
                      </c:pt>
                      <c:pt idx="7">
                        <c:v>E08</c:v>
                      </c:pt>
                      <c:pt idx="8">
                        <c:v>E09</c:v>
                      </c:pt>
                      <c:pt idx="9">
                        <c:v>E10</c:v>
                      </c:pt>
                      <c:pt idx="10">
                        <c:v>E11</c:v>
                      </c:pt>
                      <c:pt idx="11">
                        <c:v>E12</c:v>
                      </c:pt>
                      <c:pt idx="12">
                        <c:v>E13</c:v>
                      </c:pt>
                      <c:pt idx="13">
                        <c:v>E14</c:v>
                      </c:pt>
                      <c:pt idx="14">
                        <c:v>E15</c:v>
                      </c:pt>
                      <c:pt idx="15">
                        <c:v>E16</c:v>
                      </c:pt>
                      <c:pt idx="16">
                        <c:v>E17</c:v>
                      </c:pt>
                      <c:pt idx="17">
                        <c:v>E18</c:v>
                      </c:pt>
                      <c:pt idx="18">
                        <c:v>E19</c:v>
                      </c:pt>
                      <c:pt idx="19">
                        <c:v>E20</c:v>
                      </c:pt>
                      <c:pt idx="20">
                        <c:v>E21</c:v>
                      </c:pt>
                      <c:pt idx="21">
                        <c:v>E22</c:v>
                      </c:pt>
                      <c:pt idx="22">
                        <c:v>E23</c:v>
                      </c:pt>
                      <c:pt idx="23">
                        <c:v>E24</c:v>
                      </c:pt>
                      <c:pt idx="24">
                        <c:v>E25</c:v>
                      </c:pt>
                      <c:pt idx="25">
                        <c:v>E26</c:v>
                      </c:pt>
                      <c:pt idx="26">
                        <c:v>E27</c:v>
                      </c:pt>
                      <c:pt idx="27">
                        <c:v>E28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'Calculation sheet'!$D$2:$D$29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8</c:v>
                      </c:pt>
                      <c:pt idx="1">
                        <c:v>7</c:v>
                      </c:pt>
                      <c:pt idx="2">
                        <c:v>0</c:v>
                      </c:pt>
                      <c:pt idx="3">
                        <c:v>9</c:v>
                      </c:pt>
                      <c:pt idx="4">
                        <c:v>8</c:v>
                      </c:pt>
                      <c:pt idx="5">
                        <c:v>6</c:v>
                      </c:pt>
                      <c:pt idx="6">
                        <c:v>0</c:v>
                      </c:pt>
                      <c:pt idx="7">
                        <c:v>9</c:v>
                      </c:pt>
                      <c:pt idx="8">
                        <c:v>7</c:v>
                      </c:pt>
                      <c:pt idx="9">
                        <c:v>8</c:v>
                      </c:pt>
                      <c:pt idx="10">
                        <c:v>0</c:v>
                      </c:pt>
                      <c:pt idx="11">
                        <c:v>10</c:v>
                      </c:pt>
                      <c:pt idx="12">
                        <c:v>0</c:v>
                      </c:pt>
                      <c:pt idx="13">
                        <c:v>7</c:v>
                      </c:pt>
                      <c:pt idx="14">
                        <c:v>0</c:v>
                      </c:pt>
                      <c:pt idx="15">
                        <c:v>9</c:v>
                      </c:pt>
                      <c:pt idx="16">
                        <c:v>9</c:v>
                      </c:pt>
                      <c:pt idx="17">
                        <c:v>9</c:v>
                      </c:pt>
                      <c:pt idx="18">
                        <c:v>7</c:v>
                      </c:pt>
                      <c:pt idx="19">
                        <c:v>9</c:v>
                      </c:pt>
                      <c:pt idx="20">
                        <c:v>9</c:v>
                      </c:pt>
                      <c:pt idx="21">
                        <c:v>0</c:v>
                      </c:pt>
                      <c:pt idx="22">
                        <c:v>9</c:v>
                      </c:pt>
                      <c:pt idx="23">
                        <c:v>9</c:v>
                      </c:pt>
                      <c:pt idx="24">
                        <c:v>8</c:v>
                      </c:pt>
                      <c:pt idx="25">
                        <c:v>9</c:v>
                      </c:pt>
                      <c:pt idx="26">
                        <c:v>9</c:v>
                      </c:pt>
                      <c:pt idx="27">
                        <c:v>10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305C-4BFF-B962-C06621818F81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'Calculation sheet'!$E$1</c15:sqref>
                        </c15:formulaRef>
                      </c:ext>
                    </c:extLst>
                    <c:strCache>
                      <c:ptCount val="1"/>
                      <c:pt idx="0">
                        <c:v>Late_Login_Min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'Calculation sheet'!$B$2:$B$29</c15:sqref>
                        </c15:formulaRef>
                      </c:ext>
                    </c:extLst>
                    <c:strCache>
                      <c:ptCount val="28"/>
                      <c:pt idx="0">
                        <c:v>E01</c:v>
                      </c:pt>
                      <c:pt idx="1">
                        <c:v>E02</c:v>
                      </c:pt>
                      <c:pt idx="2">
                        <c:v>E03</c:v>
                      </c:pt>
                      <c:pt idx="3">
                        <c:v>E04</c:v>
                      </c:pt>
                      <c:pt idx="4">
                        <c:v>E05</c:v>
                      </c:pt>
                      <c:pt idx="5">
                        <c:v>E06</c:v>
                      </c:pt>
                      <c:pt idx="6">
                        <c:v>E07</c:v>
                      </c:pt>
                      <c:pt idx="7">
                        <c:v>E08</c:v>
                      </c:pt>
                      <c:pt idx="8">
                        <c:v>E09</c:v>
                      </c:pt>
                      <c:pt idx="9">
                        <c:v>E10</c:v>
                      </c:pt>
                      <c:pt idx="10">
                        <c:v>E11</c:v>
                      </c:pt>
                      <c:pt idx="11">
                        <c:v>E12</c:v>
                      </c:pt>
                      <c:pt idx="12">
                        <c:v>E13</c:v>
                      </c:pt>
                      <c:pt idx="13">
                        <c:v>E14</c:v>
                      </c:pt>
                      <c:pt idx="14">
                        <c:v>E15</c:v>
                      </c:pt>
                      <c:pt idx="15">
                        <c:v>E16</c:v>
                      </c:pt>
                      <c:pt idx="16">
                        <c:v>E17</c:v>
                      </c:pt>
                      <c:pt idx="17">
                        <c:v>E18</c:v>
                      </c:pt>
                      <c:pt idx="18">
                        <c:v>E19</c:v>
                      </c:pt>
                      <c:pt idx="19">
                        <c:v>E20</c:v>
                      </c:pt>
                      <c:pt idx="20">
                        <c:v>E21</c:v>
                      </c:pt>
                      <c:pt idx="21">
                        <c:v>E22</c:v>
                      </c:pt>
                      <c:pt idx="22">
                        <c:v>E23</c:v>
                      </c:pt>
                      <c:pt idx="23">
                        <c:v>E24</c:v>
                      </c:pt>
                      <c:pt idx="24">
                        <c:v>E25</c:v>
                      </c:pt>
                      <c:pt idx="25">
                        <c:v>E26</c:v>
                      </c:pt>
                      <c:pt idx="26">
                        <c:v>E27</c:v>
                      </c:pt>
                      <c:pt idx="27">
                        <c:v>E28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'Calculation sheet'!$E$2:$E$29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10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5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15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5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305C-4BFF-B962-C06621818F81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'Calculation sheet'!$F$1</c15:sqref>
                        </c15:formulaRef>
                      </c:ext>
                    </c:extLst>
                    <c:strCache>
                      <c:ptCount val="1"/>
                      <c:pt idx="0">
                        <c:v>Early_Logout_Min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'Calculation sheet'!$B$2:$B$29</c15:sqref>
                        </c15:formulaRef>
                      </c:ext>
                    </c:extLst>
                    <c:strCache>
                      <c:ptCount val="28"/>
                      <c:pt idx="0">
                        <c:v>E01</c:v>
                      </c:pt>
                      <c:pt idx="1">
                        <c:v>E02</c:v>
                      </c:pt>
                      <c:pt idx="2">
                        <c:v>E03</c:v>
                      </c:pt>
                      <c:pt idx="3">
                        <c:v>E04</c:v>
                      </c:pt>
                      <c:pt idx="4">
                        <c:v>E05</c:v>
                      </c:pt>
                      <c:pt idx="5">
                        <c:v>E06</c:v>
                      </c:pt>
                      <c:pt idx="6">
                        <c:v>E07</c:v>
                      </c:pt>
                      <c:pt idx="7">
                        <c:v>E08</c:v>
                      </c:pt>
                      <c:pt idx="8">
                        <c:v>E09</c:v>
                      </c:pt>
                      <c:pt idx="9">
                        <c:v>E10</c:v>
                      </c:pt>
                      <c:pt idx="10">
                        <c:v>E11</c:v>
                      </c:pt>
                      <c:pt idx="11">
                        <c:v>E12</c:v>
                      </c:pt>
                      <c:pt idx="12">
                        <c:v>E13</c:v>
                      </c:pt>
                      <c:pt idx="13">
                        <c:v>E14</c:v>
                      </c:pt>
                      <c:pt idx="14">
                        <c:v>E15</c:v>
                      </c:pt>
                      <c:pt idx="15">
                        <c:v>E16</c:v>
                      </c:pt>
                      <c:pt idx="16">
                        <c:v>E17</c:v>
                      </c:pt>
                      <c:pt idx="17">
                        <c:v>E18</c:v>
                      </c:pt>
                      <c:pt idx="18">
                        <c:v>E19</c:v>
                      </c:pt>
                      <c:pt idx="19">
                        <c:v>E20</c:v>
                      </c:pt>
                      <c:pt idx="20">
                        <c:v>E21</c:v>
                      </c:pt>
                      <c:pt idx="21">
                        <c:v>E22</c:v>
                      </c:pt>
                      <c:pt idx="22">
                        <c:v>E23</c:v>
                      </c:pt>
                      <c:pt idx="23">
                        <c:v>E24</c:v>
                      </c:pt>
                      <c:pt idx="24">
                        <c:v>E25</c:v>
                      </c:pt>
                      <c:pt idx="25">
                        <c:v>E26</c:v>
                      </c:pt>
                      <c:pt idx="26">
                        <c:v>E27</c:v>
                      </c:pt>
                      <c:pt idx="27">
                        <c:v>E28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'Calculation sheet'!$F$2:$F$29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15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5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305C-4BFF-B962-C06621818F81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'Calculation sheet'!$G$1</c15:sqref>
                        </c15:formulaRef>
                      </c:ext>
                    </c:extLst>
                    <c:strCache>
                      <c:ptCount val="1"/>
                      <c:pt idx="0">
                        <c:v>Absent_Flag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'Calculation sheet'!$B$2:$B$29</c15:sqref>
                        </c15:formulaRef>
                      </c:ext>
                    </c:extLst>
                    <c:strCache>
                      <c:ptCount val="28"/>
                      <c:pt idx="0">
                        <c:v>E01</c:v>
                      </c:pt>
                      <c:pt idx="1">
                        <c:v>E02</c:v>
                      </c:pt>
                      <c:pt idx="2">
                        <c:v>E03</c:v>
                      </c:pt>
                      <c:pt idx="3">
                        <c:v>E04</c:v>
                      </c:pt>
                      <c:pt idx="4">
                        <c:v>E05</c:v>
                      </c:pt>
                      <c:pt idx="5">
                        <c:v>E06</c:v>
                      </c:pt>
                      <c:pt idx="6">
                        <c:v>E07</c:v>
                      </c:pt>
                      <c:pt idx="7">
                        <c:v>E08</c:v>
                      </c:pt>
                      <c:pt idx="8">
                        <c:v>E09</c:v>
                      </c:pt>
                      <c:pt idx="9">
                        <c:v>E10</c:v>
                      </c:pt>
                      <c:pt idx="10">
                        <c:v>E11</c:v>
                      </c:pt>
                      <c:pt idx="11">
                        <c:v>E12</c:v>
                      </c:pt>
                      <c:pt idx="12">
                        <c:v>E13</c:v>
                      </c:pt>
                      <c:pt idx="13">
                        <c:v>E14</c:v>
                      </c:pt>
                      <c:pt idx="14">
                        <c:v>E15</c:v>
                      </c:pt>
                      <c:pt idx="15">
                        <c:v>E16</c:v>
                      </c:pt>
                      <c:pt idx="16">
                        <c:v>E17</c:v>
                      </c:pt>
                      <c:pt idx="17">
                        <c:v>E18</c:v>
                      </c:pt>
                      <c:pt idx="18">
                        <c:v>E19</c:v>
                      </c:pt>
                      <c:pt idx="19">
                        <c:v>E20</c:v>
                      </c:pt>
                      <c:pt idx="20">
                        <c:v>E21</c:v>
                      </c:pt>
                      <c:pt idx="21">
                        <c:v>E22</c:v>
                      </c:pt>
                      <c:pt idx="22">
                        <c:v>E23</c:v>
                      </c:pt>
                      <c:pt idx="23">
                        <c:v>E24</c:v>
                      </c:pt>
                      <c:pt idx="24">
                        <c:v>E25</c:v>
                      </c:pt>
                      <c:pt idx="25">
                        <c:v>E26</c:v>
                      </c:pt>
                      <c:pt idx="26">
                        <c:v>E27</c:v>
                      </c:pt>
                      <c:pt idx="27">
                        <c:v>E28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'Calculation sheet'!$G$2:$G$29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0</c:v>
                      </c:pt>
                      <c:pt idx="2">
                        <c:v>1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1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1</c:v>
                      </c:pt>
                      <c:pt idx="11">
                        <c:v>0</c:v>
                      </c:pt>
                      <c:pt idx="12">
                        <c:v>1</c:v>
                      </c:pt>
                      <c:pt idx="13">
                        <c:v>0</c:v>
                      </c:pt>
                      <c:pt idx="14">
                        <c:v>1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1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305C-4BFF-B962-C06621818F81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'Calculation sheet'!$H$1</c15:sqref>
                        </c15:formulaRef>
                      </c:ext>
                    </c:extLst>
                    <c:strCache>
                      <c:ptCount val="1"/>
                      <c:pt idx="0">
                        <c:v>Overtime_Hours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'Calculation sheet'!$B$2:$B$29</c15:sqref>
                        </c15:formulaRef>
                      </c:ext>
                    </c:extLst>
                    <c:strCache>
                      <c:ptCount val="28"/>
                      <c:pt idx="0">
                        <c:v>E01</c:v>
                      </c:pt>
                      <c:pt idx="1">
                        <c:v>E02</c:v>
                      </c:pt>
                      <c:pt idx="2">
                        <c:v>E03</c:v>
                      </c:pt>
                      <c:pt idx="3">
                        <c:v>E04</c:v>
                      </c:pt>
                      <c:pt idx="4">
                        <c:v>E05</c:v>
                      </c:pt>
                      <c:pt idx="5">
                        <c:v>E06</c:v>
                      </c:pt>
                      <c:pt idx="6">
                        <c:v>E07</c:v>
                      </c:pt>
                      <c:pt idx="7">
                        <c:v>E08</c:v>
                      </c:pt>
                      <c:pt idx="8">
                        <c:v>E09</c:v>
                      </c:pt>
                      <c:pt idx="9">
                        <c:v>E10</c:v>
                      </c:pt>
                      <c:pt idx="10">
                        <c:v>E11</c:v>
                      </c:pt>
                      <c:pt idx="11">
                        <c:v>E12</c:v>
                      </c:pt>
                      <c:pt idx="12">
                        <c:v>E13</c:v>
                      </c:pt>
                      <c:pt idx="13">
                        <c:v>E14</c:v>
                      </c:pt>
                      <c:pt idx="14">
                        <c:v>E15</c:v>
                      </c:pt>
                      <c:pt idx="15">
                        <c:v>E16</c:v>
                      </c:pt>
                      <c:pt idx="16">
                        <c:v>E17</c:v>
                      </c:pt>
                      <c:pt idx="17">
                        <c:v>E18</c:v>
                      </c:pt>
                      <c:pt idx="18">
                        <c:v>E19</c:v>
                      </c:pt>
                      <c:pt idx="19">
                        <c:v>E20</c:v>
                      </c:pt>
                      <c:pt idx="20">
                        <c:v>E21</c:v>
                      </c:pt>
                      <c:pt idx="21">
                        <c:v>E22</c:v>
                      </c:pt>
                      <c:pt idx="22">
                        <c:v>E23</c:v>
                      </c:pt>
                      <c:pt idx="23">
                        <c:v>E24</c:v>
                      </c:pt>
                      <c:pt idx="24">
                        <c:v>E25</c:v>
                      </c:pt>
                      <c:pt idx="25">
                        <c:v>E26</c:v>
                      </c:pt>
                      <c:pt idx="26">
                        <c:v>E27</c:v>
                      </c:pt>
                      <c:pt idx="27">
                        <c:v>E28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'Calculation sheet'!$H$2:$H$29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1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1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2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0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0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0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305C-4BFF-B962-C06621818F81}"/>
                  </c:ext>
                </c:extLst>
              </c15:ser>
            </c15:filteredLineSeries>
          </c:ext>
        </c:extLst>
      </c:lineChart>
      <c:catAx>
        <c:axId val="300673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0674207"/>
        <c:crosses val="autoZero"/>
        <c:auto val="1"/>
        <c:lblAlgn val="ctr"/>
        <c:lblOffset val="100"/>
        <c:noMultiLvlLbl val="0"/>
      </c:catAx>
      <c:valAx>
        <c:axId val="300674207"/>
        <c:scaling>
          <c:orientation val="minMax"/>
          <c:max val="100"/>
          <c:min val="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0673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0290231062157704E-2"/>
          <c:y val="5.3138437482548727E-2"/>
          <c:w val="0.89655796150481193"/>
          <c:h val="0.60327136191309416"/>
        </c:manualLayout>
      </c:layout>
      <c:lineChart>
        <c:grouping val="standard"/>
        <c:varyColors val="0"/>
        <c:ser>
          <c:idx val="5"/>
          <c:order val="5"/>
          <c:tx>
            <c:strRef>
              <c:f>'Calculation sheet'!$H$1</c:f>
              <c:strCache>
                <c:ptCount val="1"/>
                <c:pt idx="0">
                  <c:v>Overtime_Hours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'Calculation sheet'!$B$2:$B$29</c:f>
              <c:strCache>
                <c:ptCount val="28"/>
                <c:pt idx="0">
                  <c:v>E01</c:v>
                </c:pt>
                <c:pt idx="1">
                  <c:v>E02</c:v>
                </c:pt>
                <c:pt idx="2">
                  <c:v>E03</c:v>
                </c:pt>
                <c:pt idx="3">
                  <c:v>E04</c:v>
                </c:pt>
                <c:pt idx="4">
                  <c:v>E05</c:v>
                </c:pt>
                <c:pt idx="5">
                  <c:v>E06</c:v>
                </c:pt>
                <c:pt idx="6">
                  <c:v>E07</c:v>
                </c:pt>
                <c:pt idx="7">
                  <c:v>E08</c:v>
                </c:pt>
                <c:pt idx="8">
                  <c:v>E09</c:v>
                </c:pt>
                <c:pt idx="9">
                  <c:v>E10</c:v>
                </c:pt>
                <c:pt idx="10">
                  <c:v>E11</c:v>
                </c:pt>
                <c:pt idx="11">
                  <c:v>E12</c:v>
                </c:pt>
                <c:pt idx="12">
                  <c:v>E13</c:v>
                </c:pt>
                <c:pt idx="13">
                  <c:v>E14</c:v>
                </c:pt>
                <c:pt idx="14">
                  <c:v>E15</c:v>
                </c:pt>
                <c:pt idx="15">
                  <c:v>E16</c:v>
                </c:pt>
                <c:pt idx="16">
                  <c:v>E17</c:v>
                </c:pt>
                <c:pt idx="17">
                  <c:v>E18</c:v>
                </c:pt>
                <c:pt idx="18">
                  <c:v>E19</c:v>
                </c:pt>
                <c:pt idx="19">
                  <c:v>E20</c:v>
                </c:pt>
                <c:pt idx="20">
                  <c:v>E21</c:v>
                </c:pt>
                <c:pt idx="21">
                  <c:v>E22</c:v>
                </c:pt>
                <c:pt idx="22">
                  <c:v>E23</c:v>
                </c:pt>
                <c:pt idx="23">
                  <c:v>E24</c:v>
                </c:pt>
                <c:pt idx="24">
                  <c:v>E25</c:v>
                </c:pt>
                <c:pt idx="25">
                  <c:v>E26</c:v>
                </c:pt>
                <c:pt idx="26">
                  <c:v>E27</c:v>
                </c:pt>
                <c:pt idx="27">
                  <c:v>E28</c:v>
                </c:pt>
              </c:strCache>
            </c:strRef>
          </c:cat>
          <c:val>
            <c:numRef>
              <c:f>'Calculation sheet'!$H$2:$H$29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0</c:v>
                </c:pt>
                <c:pt idx="19">
                  <c:v>1</c:v>
                </c:pt>
                <c:pt idx="20">
                  <c:v>1</c:v>
                </c:pt>
                <c:pt idx="21">
                  <c:v>0</c:v>
                </c:pt>
                <c:pt idx="22">
                  <c:v>1</c:v>
                </c:pt>
                <c:pt idx="23">
                  <c:v>1</c:v>
                </c:pt>
                <c:pt idx="24">
                  <c:v>0</c:v>
                </c:pt>
                <c:pt idx="25">
                  <c:v>1</c:v>
                </c:pt>
                <c:pt idx="26">
                  <c:v>1</c:v>
                </c:pt>
                <c:pt idx="2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C42-407D-9E99-59D064656F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7620271"/>
        <c:axId val="21762110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'Calculation sheet'!$C$1</c15:sqref>
                        </c15:formulaRef>
                      </c:ext>
                    </c:extLst>
                    <c:strCache>
                      <c:ptCount val="1"/>
                      <c:pt idx="0">
                        <c:v>Scheduled_Hours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'Calculation sheet'!$B$2:$B$29</c15:sqref>
                        </c15:formulaRef>
                      </c:ext>
                    </c:extLst>
                    <c:strCache>
                      <c:ptCount val="28"/>
                      <c:pt idx="0">
                        <c:v>E01</c:v>
                      </c:pt>
                      <c:pt idx="1">
                        <c:v>E02</c:v>
                      </c:pt>
                      <c:pt idx="2">
                        <c:v>E03</c:v>
                      </c:pt>
                      <c:pt idx="3">
                        <c:v>E04</c:v>
                      </c:pt>
                      <c:pt idx="4">
                        <c:v>E05</c:v>
                      </c:pt>
                      <c:pt idx="5">
                        <c:v>E06</c:v>
                      </c:pt>
                      <c:pt idx="6">
                        <c:v>E07</c:v>
                      </c:pt>
                      <c:pt idx="7">
                        <c:v>E08</c:v>
                      </c:pt>
                      <c:pt idx="8">
                        <c:v>E09</c:v>
                      </c:pt>
                      <c:pt idx="9">
                        <c:v>E10</c:v>
                      </c:pt>
                      <c:pt idx="10">
                        <c:v>E11</c:v>
                      </c:pt>
                      <c:pt idx="11">
                        <c:v>E12</c:v>
                      </c:pt>
                      <c:pt idx="12">
                        <c:v>E13</c:v>
                      </c:pt>
                      <c:pt idx="13">
                        <c:v>E14</c:v>
                      </c:pt>
                      <c:pt idx="14">
                        <c:v>E15</c:v>
                      </c:pt>
                      <c:pt idx="15">
                        <c:v>E16</c:v>
                      </c:pt>
                      <c:pt idx="16">
                        <c:v>E17</c:v>
                      </c:pt>
                      <c:pt idx="17">
                        <c:v>E18</c:v>
                      </c:pt>
                      <c:pt idx="18">
                        <c:v>E19</c:v>
                      </c:pt>
                      <c:pt idx="19">
                        <c:v>E20</c:v>
                      </c:pt>
                      <c:pt idx="20">
                        <c:v>E21</c:v>
                      </c:pt>
                      <c:pt idx="21">
                        <c:v>E22</c:v>
                      </c:pt>
                      <c:pt idx="22">
                        <c:v>E23</c:v>
                      </c:pt>
                      <c:pt idx="23">
                        <c:v>E24</c:v>
                      </c:pt>
                      <c:pt idx="24">
                        <c:v>E25</c:v>
                      </c:pt>
                      <c:pt idx="25">
                        <c:v>E26</c:v>
                      </c:pt>
                      <c:pt idx="26">
                        <c:v>E27</c:v>
                      </c:pt>
                      <c:pt idx="27">
                        <c:v>E28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'Calculation sheet'!$C$2:$C$29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8</c:v>
                      </c:pt>
                      <c:pt idx="1">
                        <c:v>8</c:v>
                      </c:pt>
                      <c:pt idx="2">
                        <c:v>8</c:v>
                      </c:pt>
                      <c:pt idx="3">
                        <c:v>8</c:v>
                      </c:pt>
                      <c:pt idx="4">
                        <c:v>8</c:v>
                      </c:pt>
                      <c:pt idx="5">
                        <c:v>8</c:v>
                      </c:pt>
                      <c:pt idx="6">
                        <c:v>8</c:v>
                      </c:pt>
                      <c:pt idx="7">
                        <c:v>8</c:v>
                      </c:pt>
                      <c:pt idx="8">
                        <c:v>8</c:v>
                      </c:pt>
                      <c:pt idx="9">
                        <c:v>8</c:v>
                      </c:pt>
                      <c:pt idx="10">
                        <c:v>8</c:v>
                      </c:pt>
                      <c:pt idx="11">
                        <c:v>8</c:v>
                      </c:pt>
                      <c:pt idx="12">
                        <c:v>8</c:v>
                      </c:pt>
                      <c:pt idx="13">
                        <c:v>8</c:v>
                      </c:pt>
                      <c:pt idx="14">
                        <c:v>8</c:v>
                      </c:pt>
                      <c:pt idx="15">
                        <c:v>8</c:v>
                      </c:pt>
                      <c:pt idx="16">
                        <c:v>8</c:v>
                      </c:pt>
                      <c:pt idx="17">
                        <c:v>8</c:v>
                      </c:pt>
                      <c:pt idx="18">
                        <c:v>8</c:v>
                      </c:pt>
                      <c:pt idx="19">
                        <c:v>8</c:v>
                      </c:pt>
                      <c:pt idx="20">
                        <c:v>8</c:v>
                      </c:pt>
                      <c:pt idx="21">
                        <c:v>8</c:v>
                      </c:pt>
                      <c:pt idx="22">
                        <c:v>8</c:v>
                      </c:pt>
                      <c:pt idx="23">
                        <c:v>8</c:v>
                      </c:pt>
                      <c:pt idx="24">
                        <c:v>8</c:v>
                      </c:pt>
                      <c:pt idx="25">
                        <c:v>8</c:v>
                      </c:pt>
                      <c:pt idx="26">
                        <c:v>8</c:v>
                      </c:pt>
                      <c:pt idx="27">
                        <c:v>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FC42-407D-9E99-59D064656FC8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'Calculation sheet'!$D$1</c15:sqref>
                        </c15:formulaRef>
                      </c:ext>
                    </c:extLst>
                    <c:strCache>
                      <c:ptCount val="1"/>
                      <c:pt idx="0">
                        <c:v>Worked_Hours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'Calculation sheet'!$B$2:$B$29</c15:sqref>
                        </c15:formulaRef>
                      </c:ext>
                    </c:extLst>
                    <c:strCache>
                      <c:ptCount val="28"/>
                      <c:pt idx="0">
                        <c:v>E01</c:v>
                      </c:pt>
                      <c:pt idx="1">
                        <c:v>E02</c:v>
                      </c:pt>
                      <c:pt idx="2">
                        <c:v>E03</c:v>
                      </c:pt>
                      <c:pt idx="3">
                        <c:v>E04</c:v>
                      </c:pt>
                      <c:pt idx="4">
                        <c:v>E05</c:v>
                      </c:pt>
                      <c:pt idx="5">
                        <c:v>E06</c:v>
                      </c:pt>
                      <c:pt idx="6">
                        <c:v>E07</c:v>
                      </c:pt>
                      <c:pt idx="7">
                        <c:v>E08</c:v>
                      </c:pt>
                      <c:pt idx="8">
                        <c:v>E09</c:v>
                      </c:pt>
                      <c:pt idx="9">
                        <c:v>E10</c:v>
                      </c:pt>
                      <c:pt idx="10">
                        <c:v>E11</c:v>
                      </c:pt>
                      <c:pt idx="11">
                        <c:v>E12</c:v>
                      </c:pt>
                      <c:pt idx="12">
                        <c:v>E13</c:v>
                      </c:pt>
                      <c:pt idx="13">
                        <c:v>E14</c:v>
                      </c:pt>
                      <c:pt idx="14">
                        <c:v>E15</c:v>
                      </c:pt>
                      <c:pt idx="15">
                        <c:v>E16</c:v>
                      </c:pt>
                      <c:pt idx="16">
                        <c:v>E17</c:v>
                      </c:pt>
                      <c:pt idx="17">
                        <c:v>E18</c:v>
                      </c:pt>
                      <c:pt idx="18">
                        <c:v>E19</c:v>
                      </c:pt>
                      <c:pt idx="19">
                        <c:v>E20</c:v>
                      </c:pt>
                      <c:pt idx="20">
                        <c:v>E21</c:v>
                      </c:pt>
                      <c:pt idx="21">
                        <c:v>E22</c:v>
                      </c:pt>
                      <c:pt idx="22">
                        <c:v>E23</c:v>
                      </c:pt>
                      <c:pt idx="23">
                        <c:v>E24</c:v>
                      </c:pt>
                      <c:pt idx="24">
                        <c:v>E25</c:v>
                      </c:pt>
                      <c:pt idx="25">
                        <c:v>E26</c:v>
                      </c:pt>
                      <c:pt idx="26">
                        <c:v>E27</c:v>
                      </c:pt>
                      <c:pt idx="27">
                        <c:v>E28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'Calculation sheet'!$D$2:$D$29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8</c:v>
                      </c:pt>
                      <c:pt idx="1">
                        <c:v>7</c:v>
                      </c:pt>
                      <c:pt idx="2">
                        <c:v>0</c:v>
                      </c:pt>
                      <c:pt idx="3">
                        <c:v>9</c:v>
                      </c:pt>
                      <c:pt idx="4">
                        <c:v>8</c:v>
                      </c:pt>
                      <c:pt idx="5">
                        <c:v>6</c:v>
                      </c:pt>
                      <c:pt idx="6">
                        <c:v>0</c:v>
                      </c:pt>
                      <c:pt idx="7">
                        <c:v>9</c:v>
                      </c:pt>
                      <c:pt idx="8">
                        <c:v>7</c:v>
                      </c:pt>
                      <c:pt idx="9">
                        <c:v>8</c:v>
                      </c:pt>
                      <c:pt idx="10">
                        <c:v>0</c:v>
                      </c:pt>
                      <c:pt idx="11">
                        <c:v>10</c:v>
                      </c:pt>
                      <c:pt idx="12">
                        <c:v>0</c:v>
                      </c:pt>
                      <c:pt idx="13">
                        <c:v>7</c:v>
                      </c:pt>
                      <c:pt idx="14">
                        <c:v>0</c:v>
                      </c:pt>
                      <c:pt idx="15">
                        <c:v>9</c:v>
                      </c:pt>
                      <c:pt idx="16">
                        <c:v>9</c:v>
                      </c:pt>
                      <c:pt idx="17">
                        <c:v>9</c:v>
                      </c:pt>
                      <c:pt idx="18">
                        <c:v>7</c:v>
                      </c:pt>
                      <c:pt idx="19">
                        <c:v>9</c:v>
                      </c:pt>
                      <c:pt idx="20">
                        <c:v>9</c:v>
                      </c:pt>
                      <c:pt idx="21">
                        <c:v>0</c:v>
                      </c:pt>
                      <c:pt idx="22">
                        <c:v>9</c:v>
                      </c:pt>
                      <c:pt idx="23">
                        <c:v>9</c:v>
                      </c:pt>
                      <c:pt idx="24">
                        <c:v>8</c:v>
                      </c:pt>
                      <c:pt idx="25">
                        <c:v>9</c:v>
                      </c:pt>
                      <c:pt idx="26">
                        <c:v>9</c:v>
                      </c:pt>
                      <c:pt idx="27">
                        <c:v>10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FC42-407D-9E99-59D064656FC8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'Calculation sheet'!$E$1</c15:sqref>
                        </c15:formulaRef>
                      </c:ext>
                    </c:extLst>
                    <c:strCache>
                      <c:ptCount val="1"/>
                      <c:pt idx="0">
                        <c:v>Late_Login_Min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'Calculation sheet'!$B$2:$B$29</c15:sqref>
                        </c15:formulaRef>
                      </c:ext>
                    </c:extLst>
                    <c:strCache>
                      <c:ptCount val="28"/>
                      <c:pt idx="0">
                        <c:v>E01</c:v>
                      </c:pt>
                      <c:pt idx="1">
                        <c:v>E02</c:v>
                      </c:pt>
                      <c:pt idx="2">
                        <c:v>E03</c:v>
                      </c:pt>
                      <c:pt idx="3">
                        <c:v>E04</c:v>
                      </c:pt>
                      <c:pt idx="4">
                        <c:v>E05</c:v>
                      </c:pt>
                      <c:pt idx="5">
                        <c:v>E06</c:v>
                      </c:pt>
                      <c:pt idx="6">
                        <c:v>E07</c:v>
                      </c:pt>
                      <c:pt idx="7">
                        <c:v>E08</c:v>
                      </c:pt>
                      <c:pt idx="8">
                        <c:v>E09</c:v>
                      </c:pt>
                      <c:pt idx="9">
                        <c:v>E10</c:v>
                      </c:pt>
                      <c:pt idx="10">
                        <c:v>E11</c:v>
                      </c:pt>
                      <c:pt idx="11">
                        <c:v>E12</c:v>
                      </c:pt>
                      <c:pt idx="12">
                        <c:v>E13</c:v>
                      </c:pt>
                      <c:pt idx="13">
                        <c:v>E14</c:v>
                      </c:pt>
                      <c:pt idx="14">
                        <c:v>E15</c:v>
                      </c:pt>
                      <c:pt idx="15">
                        <c:v>E16</c:v>
                      </c:pt>
                      <c:pt idx="16">
                        <c:v>E17</c:v>
                      </c:pt>
                      <c:pt idx="17">
                        <c:v>E18</c:v>
                      </c:pt>
                      <c:pt idx="18">
                        <c:v>E19</c:v>
                      </c:pt>
                      <c:pt idx="19">
                        <c:v>E20</c:v>
                      </c:pt>
                      <c:pt idx="20">
                        <c:v>E21</c:v>
                      </c:pt>
                      <c:pt idx="21">
                        <c:v>E22</c:v>
                      </c:pt>
                      <c:pt idx="22">
                        <c:v>E23</c:v>
                      </c:pt>
                      <c:pt idx="23">
                        <c:v>E24</c:v>
                      </c:pt>
                      <c:pt idx="24">
                        <c:v>E25</c:v>
                      </c:pt>
                      <c:pt idx="25">
                        <c:v>E26</c:v>
                      </c:pt>
                      <c:pt idx="26">
                        <c:v>E27</c:v>
                      </c:pt>
                      <c:pt idx="27">
                        <c:v>E28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'Calculation sheet'!$E$2:$E$29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10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5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15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5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FC42-407D-9E99-59D064656FC8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'Calculation sheet'!$F$1</c15:sqref>
                        </c15:formulaRef>
                      </c:ext>
                    </c:extLst>
                    <c:strCache>
                      <c:ptCount val="1"/>
                      <c:pt idx="0">
                        <c:v>Early_Logout_Min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'Calculation sheet'!$B$2:$B$29</c15:sqref>
                        </c15:formulaRef>
                      </c:ext>
                    </c:extLst>
                    <c:strCache>
                      <c:ptCount val="28"/>
                      <c:pt idx="0">
                        <c:v>E01</c:v>
                      </c:pt>
                      <c:pt idx="1">
                        <c:v>E02</c:v>
                      </c:pt>
                      <c:pt idx="2">
                        <c:v>E03</c:v>
                      </c:pt>
                      <c:pt idx="3">
                        <c:v>E04</c:v>
                      </c:pt>
                      <c:pt idx="4">
                        <c:v>E05</c:v>
                      </c:pt>
                      <c:pt idx="5">
                        <c:v>E06</c:v>
                      </c:pt>
                      <c:pt idx="6">
                        <c:v>E07</c:v>
                      </c:pt>
                      <c:pt idx="7">
                        <c:v>E08</c:v>
                      </c:pt>
                      <c:pt idx="8">
                        <c:v>E09</c:v>
                      </c:pt>
                      <c:pt idx="9">
                        <c:v>E10</c:v>
                      </c:pt>
                      <c:pt idx="10">
                        <c:v>E11</c:v>
                      </c:pt>
                      <c:pt idx="11">
                        <c:v>E12</c:v>
                      </c:pt>
                      <c:pt idx="12">
                        <c:v>E13</c:v>
                      </c:pt>
                      <c:pt idx="13">
                        <c:v>E14</c:v>
                      </c:pt>
                      <c:pt idx="14">
                        <c:v>E15</c:v>
                      </c:pt>
                      <c:pt idx="15">
                        <c:v>E16</c:v>
                      </c:pt>
                      <c:pt idx="16">
                        <c:v>E17</c:v>
                      </c:pt>
                      <c:pt idx="17">
                        <c:v>E18</c:v>
                      </c:pt>
                      <c:pt idx="18">
                        <c:v>E19</c:v>
                      </c:pt>
                      <c:pt idx="19">
                        <c:v>E20</c:v>
                      </c:pt>
                      <c:pt idx="20">
                        <c:v>E21</c:v>
                      </c:pt>
                      <c:pt idx="21">
                        <c:v>E22</c:v>
                      </c:pt>
                      <c:pt idx="22">
                        <c:v>E23</c:v>
                      </c:pt>
                      <c:pt idx="23">
                        <c:v>E24</c:v>
                      </c:pt>
                      <c:pt idx="24">
                        <c:v>E25</c:v>
                      </c:pt>
                      <c:pt idx="25">
                        <c:v>E26</c:v>
                      </c:pt>
                      <c:pt idx="26">
                        <c:v>E27</c:v>
                      </c:pt>
                      <c:pt idx="27">
                        <c:v>E28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'Calculation sheet'!$F$2:$F$29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15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5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FC42-407D-9E99-59D064656FC8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'Calculation sheet'!$G$1</c15:sqref>
                        </c15:formulaRef>
                      </c:ext>
                    </c:extLst>
                    <c:strCache>
                      <c:ptCount val="1"/>
                      <c:pt idx="0">
                        <c:v>Absent_Flag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'Calculation sheet'!$B$2:$B$29</c15:sqref>
                        </c15:formulaRef>
                      </c:ext>
                    </c:extLst>
                    <c:strCache>
                      <c:ptCount val="28"/>
                      <c:pt idx="0">
                        <c:v>E01</c:v>
                      </c:pt>
                      <c:pt idx="1">
                        <c:v>E02</c:v>
                      </c:pt>
                      <c:pt idx="2">
                        <c:v>E03</c:v>
                      </c:pt>
                      <c:pt idx="3">
                        <c:v>E04</c:v>
                      </c:pt>
                      <c:pt idx="4">
                        <c:v>E05</c:v>
                      </c:pt>
                      <c:pt idx="5">
                        <c:v>E06</c:v>
                      </c:pt>
                      <c:pt idx="6">
                        <c:v>E07</c:v>
                      </c:pt>
                      <c:pt idx="7">
                        <c:v>E08</c:v>
                      </c:pt>
                      <c:pt idx="8">
                        <c:v>E09</c:v>
                      </c:pt>
                      <c:pt idx="9">
                        <c:v>E10</c:v>
                      </c:pt>
                      <c:pt idx="10">
                        <c:v>E11</c:v>
                      </c:pt>
                      <c:pt idx="11">
                        <c:v>E12</c:v>
                      </c:pt>
                      <c:pt idx="12">
                        <c:v>E13</c:v>
                      </c:pt>
                      <c:pt idx="13">
                        <c:v>E14</c:v>
                      </c:pt>
                      <c:pt idx="14">
                        <c:v>E15</c:v>
                      </c:pt>
                      <c:pt idx="15">
                        <c:v>E16</c:v>
                      </c:pt>
                      <c:pt idx="16">
                        <c:v>E17</c:v>
                      </c:pt>
                      <c:pt idx="17">
                        <c:v>E18</c:v>
                      </c:pt>
                      <c:pt idx="18">
                        <c:v>E19</c:v>
                      </c:pt>
                      <c:pt idx="19">
                        <c:v>E20</c:v>
                      </c:pt>
                      <c:pt idx="20">
                        <c:v>E21</c:v>
                      </c:pt>
                      <c:pt idx="21">
                        <c:v>E22</c:v>
                      </c:pt>
                      <c:pt idx="22">
                        <c:v>E23</c:v>
                      </c:pt>
                      <c:pt idx="23">
                        <c:v>E24</c:v>
                      </c:pt>
                      <c:pt idx="24">
                        <c:v>E25</c:v>
                      </c:pt>
                      <c:pt idx="25">
                        <c:v>E26</c:v>
                      </c:pt>
                      <c:pt idx="26">
                        <c:v>E27</c:v>
                      </c:pt>
                      <c:pt idx="27">
                        <c:v>E28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'Calculation sheet'!$G$2:$G$29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0</c:v>
                      </c:pt>
                      <c:pt idx="2">
                        <c:v>1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1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1</c:v>
                      </c:pt>
                      <c:pt idx="11">
                        <c:v>0</c:v>
                      </c:pt>
                      <c:pt idx="12">
                        <c:v>1</c:v>
                      </c:pt>
                      <c:pt idx="13">
                        <c:v>0</c:v>
                      </c:pt>
                      <c:pt idx="14">
                        <c:v>1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1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FC42-407D-9E99-59D064656FC8}"/>
                  </c:ext>
                </c:extLst>
              </c15:ser>
            </c15:filteredLineSeries>
          </c:ext>
        </c:extLst>
      </c:lineChart>
      <c:catAx>
        <c:axId val="217620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621103"/>
        <c:crosses val="autoZero"/>
        <c:auto val="1"/>
        <c:lblAlgn val="ctr"/>
        <c:lblOffset val="100"/>
        <c:noMultiLvlLbl val="0"/>
      </c:catAx>
      <c:valAx>
        <c:axId val="21762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620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Analysis of Hours Worked Relative to Schedule</a:t>
            </a:r>
          </a:p>
        </c:rich>
      </c:tx>
      <c:layout>
        <c:manualLayout>
          <c:xMode val="edge"/>
          <c:yMode val="edge"/>
          <c:x val="0.31106460667180008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'Calculation sheet'!$C$1</c:f>
              <c:strCache>
                <c:ptCount val="1"/>
                <c:pt idx="0">
                  <c:v>Scheduled_Hours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'Calculation sheet'!$B$2:$B$29</c:f>
              <c:strCache>
                <c:ptCount val="28"/>
                <c:pt idx="0">
                  <c:v>E01</c:v>
                </c:pt>
                <c:pt idx="1">
                  <c:v>E02</c:v>
                </c:pt>
                <c:pt idx="2">
                  <c:v>E03</c:v>
                </c:pt>
                <c:pt idx="3">
                  <c:v>E04</c:v>
                </c:pt>
                <c:pt idx="4">
                  <c:v>E05</c:v>
                </c:pt>
                <c:pt idx="5">
                  <c:v>E06</c:v>
                </c:pt>
                <c:pt idx="6">
                  <c:v>E07</c:v>
                </c:pt>
                <c:pt idx="7">
                  <c:v>E08</c:v>
                </c:pt>
                <c:pt idx="8">
                  <c:v>E09</c:v>
                </c:pt>
                <c:pt idx="9">
                  <c:v>E10</c:v>
                </c:pt>
                <c:pt idx="10">
                  <c:v>E11</c:v>
                </c:pt>
                <c:pt idx="11">
                  <c:v>E12</c:v>
                </c:pt>
                <c:pt idx="12">
                  <c:v>E13</c:v>
                </c:pt>
                <c:pt idx="13">
                  <c:v>E14</c:v>
                </c:pt>
                <c:pt idx="14">
                  <c:v>E15</c:v>
                </c:pt>
                <c:pt idx="15">
                  <c:v>E16</c:v>
                </c:pt>
                <c:pt idx="16">
                  <c:v>E17</c:v>
                </c:pt>
                <c:pt idx="17">
                  <c:v>E18</c:v>
                </c:pt>
                <c:pt idx="18">
                  <c:v>E19</c:v>
                </c:pt>
                <c:pt idx="19">
                  <c:v>E20</c:v>
                </c:pt>
                <c:pt idx="20">
                  <c:v>E21</c:v>
                </c:pt>
                <c:pt idx="21">
                  <c:v>E22</c:v>
                </c:pt>
                <c:pt idx="22">
                  <c:v>E23</c:v>
                </c:pt>
                <c:pt idx="23">
                  <c:v>E24</c:v>
                </c:pt>
                <c:pt idx="24">
                  <c:v>E25</c:v>
                </c:pt>
                <c:pt idx="25">
                  <c:v>E26</c:v>
                </c:pt>
                <c:pt idx="26">
                  <c:v>E27</c:v>
                </c:pt>
                <c:pt idx="27">
                  <c:v>E28</c:v>
                </c:pt>
              </c:strCache>
            </c:strRef>
          </c:cat>
          <c:val>
            <c:numRef>
              <c:f>'Calculation sheet'!$C$2:$C$29</c:f>
              <c:numCache>
                <c:formatCode>General</c:formatCode>
                <c:ptCount val="28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  <c:pt idx="19">
                  <c:v>8</c:v>
                </c:pt>
                <c:pt idx="20">
                  <c:v>8</c:v>
                </c:pt>
                <c:pt idx="21">
                  <c:v>8</c:v>
                </c:pt>
                <c:pt idx="22">
                  <c:v>8</c:v>
                </c:pt>
                <c:pt idx="23">
                  <c:v>8</c:v>
                </c:pt>
                <c:pt idx="24">
                  <c:v>8</c:v>
                </c:pt>
                <c:pt idx="25">
                  <c:v>8</c:v>
                </c:pt>
                <c:pt idx="26">
                  <c:v>8</c:v>
                </c:pt>
                <c:pt idx="27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C5-42F2-8DC6-588577FF695F}"/>
            </c:ext>
          </c:extLst>
        </c:ser>
        <c:ser>
          <c:idx val="1"/>
          <c:order val="1"/>
          <c:tx>
            <c:strRef>
              <c:f>'Calculation sheet'!$D$1</c:f>
              <c:strCache>
                <c:ptCount val="1"/>
                <c:pt idx="0">
                  <c:v>Worked_Hours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'Calculation sheet'!$B$2:$B$29</c:f>
              <c:strCache>
                <c:ptCount val="28"/>
                <c:pt idx="0">
                  <c:v>E01</c:v>
                </c:pt>
                <c:pt idx="1">
                  <c:v>E02</c:v>
                </c:pt>
                <c:pt idx="2">
                  <c:v>E03</c:v>
                </c:pt>
                <c:pt idx="3">
                  <c:v>E04</c:v>
                </c:pt>
                <c:pt idx="4">
                  <c:v>E05</c:v>
                </c:pt>
                <c:pt idx="5">
                  <c:v>E06</c:v>
                </c:pt>
                <c:pt idx="6">
                  <c:v>E07</c:v>
                </c:pt>
                <c:pt idx="7">
                  <c:v>E08</c:v>
                </c:pt>
                <c:pt idx="8">
                  <c:v>E09</c:v>
                </c:pt>
                <c:pt idx="9">
                  <c:v>E10</c:v>
                </c:pt>
                <c:pt idx="10">
                  <c:v>E11</c:v>
                </c:pt>
                <c:pt idx="11">
                  <c:v>E12</c:v>
                </c:pt>
                <c:pt idx="12">
                  <c:v>E13</c:v>
                </c:pt>
                <c:pt idx="13">
                  <c:v>E14</c:v>
                </c:pt>
                <c:pt idx="14">
                  <c:v>E15</c:v>
                </c:pt>
                <c:pt idx="15">
                  <c:v>E16</c:v>
                </c:pt>
                <c:pt idx="16">
                  <c:v>E17</c:v>
                </c:pt>
                <c:pt idx="17">
                  <c:v>E18</c:v>
                </c:pt>
                <c:pt idx="18">
                  <c:v>E19</c:v>
                </c:pt>
                <c:pt idx="19">
                  <c:v>E20</c:v>
                </c:pt>
                <c:pt idx="20">
                  <c:v>E21</c:v>
                </c:pt>
                <c:pt idx="21">
                  <c:v>E22</c:v>
                </c:pt>
                <c:pt idx="22">
                  <c:v>E23</c:v>
                </c:pt>
                <c:pt idx="23">
                  <c:v>E24</c:v>
                </c:pt>
                <c:pt idx="24">
                  <c:v>E25</c:v>
                </c:pt>
                <c:pt idx="25">
                  <c:v>E26</c:v>
                </c:pt>
                <c:pt idx="26">
                  <c:v>E27</c:v>
                </c:pt>
                <c:pt idx="27">
                  <c:v>E28</c:v>
                </c:pt>
              </c:strCache>
            </c:strRef>
          </c:cat>
          <c:val>
            <c:numRef>
              <c:f>'Calculation sheet'!$D$2:$D$29</c:f>
              <c:numCache>
                <c:formatCode>General</c:formatCode>
                <c:ptCount val="28"/>
                <c:pt idx="0">
                  <c:v>8</c:v>
                </c:pt>
                <c:pt idx="1">
                  <c:v>7</c:v>
                </c:pt>
                <c:pt idx="2">
                  <c:v>0</c:v>
                </c:pt>
                <c:pt idx="3">
                  <c:v>9</c:v>
                </c:pt>
                <c:pt idx="4">
                  <c:v>8</c:v>
                </c:pt>
                <c:pt idx="5">
                  <c:v>6</c:v>
                </c:pt>
                <c:pt idx="6">
                  <c:v>0</c:v>
                </c:pt>
                <c:pt idx="7">
                  <c:v>9</c:v>
                </c:pt>
                <c:pt idx="8">
                  <c:v>7</c:v>
                </c:pt>
                <c:pt idx="9">
                  <c:v>8</c:v>
                </c:pt>
                <c:pt idx="10">
                  <c:v>0</c:v>
                </c:pt>
                <c:pt idx="11">
                  <c:v>10</c:v>
                </c:pt>
                <c:pt idx="12">
                  <c:v>0</c:v>
                </c:pt>
                <c:pt idx="13">
                  <c:v>7</c:v>
                </c:pt>
                <c:pt idx="14">
                  <c:v>0</c:v>
                </c:pt>
                <c:pt idx="15">
                  <c:v>9</c:v>
                </c:pt>
                <c:pt idx="16">
                  <c:v>9</c:v>
                </c:pt>
                <c:pt idx="17">
                  <c:v>9</c:v>
                </c:pt>
                <c:pt idx="18">
                  <c:v>7</c:v>
                </c:pt>
                <c:pt idx="19">
                  <c:v>9</c:v>
                </c:pt>
                <c:pt idx="20">
                  <c:v>9</c:v>
                </c:pt>
                <c:pt idx="21">
                  <c:v>0</c:v>
                </c:pt>
                <c:pt idx="22">
                  <c:v>9</c:v>
                </c:pt>
                <c:pt idx="23">
                  <c:v>9</c:v>
                </c:pt>
                <c:pt idx="24">
                  <c:v>8</c:v>
                </c:pt>
                <c:pt idx="25">
                  <c:v>9</c:v>
                </c:pt>
                <c:pt idx="26">
                  <c:v>9</c:v>
                </c:pt>
                <c:pt idx="27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C5-42F2-8DC6-588577FF69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9512351"/>
        <c:axId val="359506527"/>
      </c:lineChart>
      <c:catAx>
        <c:axId val="3595123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Employee ID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506527"/>
        <c:crosses val="autoZero"/>
        <c:auto val="1"/>
        <c:lblAlgn val="ctr"/>
        <c:lblOffset val="100"/>
        <c:noMultiLvlLbl val="0"/>
      </c:catAx>
      <c:valAx>
        <c:axId val="359506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Hours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512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6"/>
          <c:order val="6"/>
          <c:tx>
            <c:strRef>
              <c:f>'Calculation sheet'!$I$1</c:f>
              <c:strCache>
                <c:ptCount val="1"/>
                <c:pt idx="0">
                  <c:v>Reliablity score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4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'Calculation sheet'!$B$2:$B$29</c:f>
              <c:strCache>
                <c:ptCount val="28"/>
                <c:pt idx="0">
                  <c:v>E01</c:v>
                </c:pt>
                <c:pt idx="1">
                  <c:v>E02</c:v>
                </c:pt>
                <c:pt idx="2">
                  <c:v>E03</c:v>
                </c:pt>
                <c:pt idx="3">
                  <c:v>E04</c:v>
                </c:pt>
                <c:pt idx="4">
                  <c:v>E05</c:v>
                </c:pt>
                <c:pt idx="5">
                  <c:v>E06</c:v>
                </c:pt>
                <c:pt idx="6">
                  <c:v>E07</c:v>
                </c:pt>
                <c:pt idx="7">
                  <c:v>E08</c:v>
                </c:pt>
                <c:pt idx="8">
                  <c:v>E09</c:v>
                </c:pt>
                <c:pt idx="9">
                  <c:v>E10</c:v>
                </c:pt>
                <c:pt idx="10">
                  <c:v>E11</c:v>
                </c:pt>
                <c:pt idx="11">
                  <c:v>E12</c:v>
                </c:pt>
                <c:pt idx="12">
                  <c:v>E13</c:v>
                </c:pt>
                <c:pt idx="13">
                  <c:v>E14</c:v>
                </c:pt>
                <c:pt idx="14">
                  <c:v>E15</c:v>
                </c:pt>
                <c:pt idx="15">
                  <c:v>E16</c:v>
                </c:pt>
                <c:pt idx="16">
                  <c:v>E17</c:v>
                </c:pt>
                <c:pt idx="17">
                  <c:v>E18</c:v>
                </c:pt>
                <c:pt idx="18">
                  <c:v>E19</c:v>
                </c:pt>
                <c:pt idx="19">
                  <c:v>E20</c:v>
                </c:pt>
                <c:pt idx="20">
                  <c:v>E21</c:v>
                </c:pt>
                <c:pt idx="21">
                  <c:v>E22</c:v>
                </c:pt>
                <c:pt idx="22">
                  <c:v>E23</c:v>
                </c:pt>
                <c:pt idx="23">
                  <c:v>E24</c:v>
                </c:pt>
                <c:pt idx="24">
                  <c:v>E25</c:v>
                </c:pt>
                <c:pt idx="25">
                  <c:v>E26</c:v>
                </c:pt>
                <c:pt idx="26">
                  <c:v>E27</c:v>
                </c:pt>
                <c:pt idx="27">
                  <c:v>E28</c:v>
                </c:pt>
              </c:strCache>
            </c:strRef>
          </c:cat>
          <c:val>
            <c:numRef>
              <c:f>'Calculation sheet'!$I$2:$I$29</c:f>
              <c:numCache>
                <c:formatCode>General</c:formatCode>
                <c:ptCount val="28"/>
                <c:pt idx="0">
                  <c:v>100</c:v>
                </c:pt>
                <c:pt idx="1">
                  <c:v>98</c:v>
                </c:pt>
                <c:pt idx="2">
                  <c:v>99.5</c:v>
                </c:pt>
                <c:pt idx="3">
                  <c:v>100</c:v>
                </c:pt>
                <c:pt idx="4">
                  <c:v>98.5</c:v>
                </c:pt>
                <c:pt idx="5">
                  <c:v>99</c:v>
                </c:pt>
                <c:pt idx="6">
                  <c:v>99.5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99.5</c:v>
                </c:pt>
                <c:pt idx="11">
                  <c:v>100</c:v>
                </c:pt>
                <c:pt idx="12">
                  <c:v>99.5</c:v>
                </c:pt>
                <c:pt idx="13">
                  <c:v>97</c:v>
                </c:pt>
                <c:pt idx="14">
                  <c:v>99.5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99.5</c:v>
                </c:pt>
                <c:pt idx="22">
                  <c:v>99.5</c:v>
                </c:pt>
                <c:pt idx="23">
                  <c:v>100</c:v>
                </c:pt>
                <c:pt idx="24">
                  <c:v>100</c:v>
                </c:pt>
                <c:pt idx="25">
                  <c:v>99</c:v>
                </c:pt>
                <c:pt idx="26">
                  <c:v>100</c:v>
                </c:pt>
                <c:pt idx="27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2E-4B77-873B-394615FC2F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0673375"/>
        <c:axId val="30067420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'Calculation sheet'!$C$1</c15:sqref>
                        </c15:formulaRef>
                      </c:ext>
                    </c:extLst>
                    <c:strCache>
                      <c:ptCount val="1"/>
                      <c:pt idx="0">
                        <c:v>Scheduled_Hours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'Calculation sheet'!$B$2:$B$29</c15:sqref>
                        </c15:formulaRef>
                      </c:ext>
                    </c:extLst>
                    <c:strCache>
                      <c:ptCount val="28"/>
                      <c:pt idx="0">
                        <c:v>E01</c:v>
                      </c:pt>
                      <c:pt idx="1">
                        <c:v>E02</c:v>
                      </c:pt>
                      <c:pt idx="2">
                        <c:v>E03</c:v>
                      </c:pt>
                      <c:pt idx="3">
                        <c:v>E04</c:v>
                      </c:pt>
                      <c:pt idx="4">
                        <c:v>E05</c:v>
                      </c:pt>
                      <c:pt idx="5">
                        <c:v>E06</c:v>
                      </c:pt>
                      <c:pt idx="6">
                        <c:v>E07</c:v>
                      </c:pt>
                      <c:pt idx="7">
                        <c:v>E08</c:v>
                      </c:pt>
                      <c:pt idx="8">
                        <c:v>E09</c:v>
                      </c:pt>
                      <c:pt idx="9">
                        <c:v>E10</c:v>
                      </c:pt>
                      <c:pt idx="10">
                        <c:v>E11</c:v>
                      </c:pt>
                      <c:pt idx="11">
                        <c:v>E12</c:v>
                      </c:pt>
                      <c:pt idx="12">
                        <c:v>E13</c:v>
                      </c:pt>
                      <c:pt idx="13">
                        <c:v>E14</c:v>
                      </c:pt>
                      <c:pt idx="14">
                        <c:v>E15</c:v>
                      </c:pt>
                      <c:pt idx="15">
                        <c:v>E16</c:v>
                      </c:pt>
                      <c:pt idx="16">
                        <c:v>E17</c:v>
                      </c:pt>
                      <c:pt idx="17">
                        <c:v>E18</c:v>
                      </c:pt>
                      <c:pt idx="18">
                        <c:v>E19</c:v>
                      </c:pt>
                      <c:pt idx="19">
                        <c:v>E20</c:v>
                      </c:pt>
                      <c:pt idx="20">
                        <c:v>E21</c:v>
                      </c:pt>
                      <c:pt idx="21">
                        <c:v>E22</c:v>
                      </c:pt>
                      <c:pt idx="22">
                        <c:v>E23</c:v>
                      </c:pt>
                      <c:pt idx="23">
                        <c:v>E24</c:v>
                      </c:pt>
                      <c:pt idx="24">
                        <c:v>E25</c:v>
                      </c:pt>
                      <c:pt idx="25">
                        <c:v>E26</c:v>
                      </c:pt>
                      <c:pt idx="26">
                        <c:v>E27</c:v>
                      </c:pt>
                      <c:pt idx="27">
                        <c:v>E28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'Calculation sheet'!$C$2:$C$29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8</c:v>
                      </c:pt>
                      <c:pt idx="1">
                        <c:v>8</c:v>
                      </c:pt>
                      <c:pt idx="2">
                        <c:v>8</c:v>
                      </c:pt>
                      <c:pt idx="3">
                        <c:v>8</c:v>
                      </c:pt>
                      <c:pt idx="4">
                        <c:v>8</c:v>
                      </c:pt>
                      <c:pt idx="5">
                        <c:v>8</c:v>
                      </c:pt>
                      <c:pt idx="6">
                        <c:v>8</c:v>
                      </c:pt>
                      <c:pt idx="7">
                        <c:v>8</c:v>
                      </c:pt>
                      <c:pt idx="8">
                        <c:v>8</c:v>
                      </c:pt>
                      <c:pt idx="9">
                        <c:v>8</c:v>
                      </c:pt>
                      <c:pt idx="10">
                        <c:v>8</c:v>
                      </c:pt>
                      <c:pt idx="11">
                        <c:v>8</c:v>
                      </c:pt>
                      <c:pt idx="12">
                        <c:v>8</c:v>
                      </c:pt>
                      <c:pt idx="13">
                        <c:v>8</c:v>
                      </c:pt>
                      <c:pt idx="14">
                        <c:v>8</c:v>
                      </c:pt>
                      <c:pt idx="15">
                        <c:v>8</c:v>
                      </c:pt>
                      <c:pt idx="16">
                        <c:v>8</c:v>
                      </c:pt>
                      <c:pt idx="17">
                        <c:v>8</c:v>
                      </c:pt>
                      <c:pt idx="18">
                        <c:v>8</c:v>
                      </c:pt>
                      <c:pt idx="19">
                        <c:v>8</c:v>
                      </c:pt>
                      <c:pt idx="20">
                        <c:v>8</c:v>
                      </c:pt>
                      <c:pt idx="21">
                        <c:v>8</c:v>
                      </c:pt>
                      <c:pt idx="22">
                        <c:v>8</c:v>
                      </c:pt>
                      <c:pt idx="23">
                        <c:v>8</c:v>
                      </c:pt>
                      <c:pt idx="24">
                        <c:v>8</c:v>
                      </c:pt>
                      <c:pt idx="25">
                        <c:v>8</c:v>
                      </c:pt>
                      <c:pt idx="26">
                        <c:v>8</c:v>
                      </c:pt>
                      <c:pt idx="27">
                        <c:v>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4C2E-4B77-873B-394615FC2F04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'Calculation sheet'!$D$1</c15:sqref>
                        </c15:formulaRef>
                      </c:ext>
                    </c:extLst>
                    <c:strCache>
                      <c:ptCount val="1"/>
                      <c:pt idx="0">
                        <c:v>Worked_Hours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'Calculation sheet'!$B$2:$B$29</c15:sqref>
                        </c15:formulaRef>
                      </c:ext>
                    </c:extLst>
                    <c:strCache>
                      <c:ptCount val="28"/>
                      <c:pt idx="0">
                        <c:v>E01</c:v>
                      </c:pt>
                      <c:pt idx="1">
                        <c:v>E02</c:v>
                      </c:pt>
                      <c:pt idx="2">
                        <c:v>E03</c:v>
                      </c:pt>
                      <c:pt idx="3">
                        <c:v>E04</c:v>
                      </c:pt>
                      <c:pt idx="4">
                        <c:v>E05</c:v>
                      </c:pt>
                      <c:pt idx="5">
                        <c:v>E06</c:v>
                      </c:pt>
                      <c:pt idx="6">
                        <c:v>E07</c:v>
                      </c:pt>
                      <c:pt idx="7">
                        <c:v>E08</c:v>
                      </c:pt>
                      <c:pt idx="8">
                        <c:v>E09</c:v>
                      </c:pt>
                      <c:pt idx="9">
                        <c:v>E10</c:v>
                      </c:pt>
                      <c:pt idx="10">
                        <c:v>E11</c:v>
                      </c:pt>
                      <c:pt idx="11">
                        <c:v>E12</c:v>
                      </c:pt>
                      <c:pt idx="12">
                        <c:v>E13</c:v>
                      </c:pt>
                      <c:pt idx="13">
                        <c:v>E14</c:v>
                      </c:pt>
                      <c:pt idx="14">
                        <c:v>E15</c:v>
                      </c:pt>
                      <c:pt idx="15">
                        <c:v>E16</c:v>
                      </c:pt>
                      <c:pt idx="16">
                        <c:v>E17</c:v>
                      </c:pt>
                      <c:pt idx="17">
                        <c:v>E18</c:v>
                      </c:pt>
                      <c:pt idx="18">
                        <c:v>E19</c:v>
                      </c:pt>
                      <c:pt idx="19">
                        <c:v>E20</c:v>
                      </c:pt>
                      <c:pt idx="20">
                        <c:v>E21</c:v>
                      </c:pt>
                      <c:pt idx="21">
                        <c:v>E22</c:v>
                      </c:pt>
                      <c:pt idx="22">
                        <c:v>E23</c:v>
                      </c:pt>
                      <c:pt idx="23">
                        <c:v>E24</c:v>
                      </c:pt>
                      <c:pt idx="24">
                        <c:v>E25</c:v>
                      </c:pt>
                      <c:pt idx="25">
                        <c:v>E26</c:v>
                      </c:pt>
                      <c:pt idx="26">
                        <c:v>E27</c:v>
                      </c:pt>
                      <c:pt idx="27">
                        <c:v>E28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'Calculation sheet'!$D$2:$D$29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8</c:v>
                      </c:pt>
                      <c:pt idx="1">
                        <c:v>7</c:v>
                      </c:pt>
                      <c:pt idx="2">
                        <c:v>0</c:v>
                      </c:pt>
                      <c:pt idx="3">
                        <c:v>9</c:v>
                      </c:pt>
                      <c:pt idx="4">
                        <c:v>8</c:v>
                      </c:pt>
                      <c:pt idx="5">
                        <c:v>6</c:v>
                      </c:pt>
                      <c:pt idx="6">
                        <c:v>0</c:v>
                      </c:pt>
                      <c:pt idx="7">
                        <c:v>9</c:v>
                      </c:pt>
                      <c:pt idx="8">
                        <c:v>7</c:v>
                      </c:pt>
                      <c:pt idx="9">
                        <c:v>8</c:v>
                      </c:pt>
                      <c:pt idx="10">
                        <c:v>0</c:v>
                      </c:pt>
                      <c:pt idx="11">
                        <c:v>10</c:v>
                      </c:pt>
                      <c:pt idx="12">
                        <c:v>0</c:v>
                      </c:pt>
                      <c:pt idx="13">
                        <c:v>7</c:v>
                      </c:pt>
                      <c:pt idx="14">
                        <c:v>0</c:v>
                      </c:pt>
                      <c:pt idx="15">
                        <c:v>9</c:v>
                      </c:pt>
                      <c:pt idx="16">
                        <c:v>9</c:v>
                      </c:pt>
                      <c:pt idx="17">
                        <c:v>9</c:v>
                      </c:pt>
                      <c:pt idx="18">
                        <c:v>7</c:v>
                      </c:pt>
                      <c:pt idx="19">
                        <c:v>9</c:v>
                      </c:pt>
                      <c:pt idx="20">
                        <c:v>9</c:v>
                      </c:pt>
                      <c:pt idx="21">
                        <c:v>0</c:v>
                      </c:pt>
                      <c:pt idx="22">
                        <c:v>9</c:v>
                      </c:pt>
                      <c:pt idx="23">
                        <c:v>9</c:v>
                      </c:pt>
                      <c:pt idx="24">
                        <c:v>8</c:v>
                      </c:pt>
                      <c:pt idx="25">
                        <c:v>9</c:v>
                      </c:pt>
                      <c:pt idx="26">
                        <c:v>9</c:v>
                      </c:pt>
                      <c:pt idx="27">
                        <c:v>10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4C2E-4B77-873B-394615FC2F04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'Calculation sheet'!$E$1</c15:sqref>
                        </c15:formulaRef>
                      </c:ext>
                    </c:extLst>
                    <c:strCache>
                      <c:ptCount val="1"/>
                      <c:pt idx="0">
                        <c:v>Late_Login_Min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'Calculation sheet'!$B$2:$B$29</c15:sqref>
                        </c15:formulaRef>
                      </c:ext>
                    </c:extLst>
                    <c:strCache>
                      <c:ptCount val="28"/>
                      <c:pt idx="0">
                        <c:v>E01</c:v>
                      </c:pt>
                      <c:pt idx="1">
                        <c:v>E02</c:v>
                      </c:pt>
                      <c:pt idx="2">
                        <c:v>E03</c:v>
                      </c:pt>
                      <c:pt idx="3">
                        <c:v>E04</c:v>
                      </c:pt>
                      <c:pt idx="4">
                        <c:v>E05</c:v>
                      </c:pt>
                      <c:pt idx="5">
                        <c:v>E06</c:v>
                      </c:pt>
                      <c:pt idx="6">
                        <c:v>E07</c:v>
                      </c:pt>
                      <c:pt idx="7">
                        <c:v>E08</c:v>
                      </c:pt>
                      <c:pt idx="8">
                        <c:v>E09</c:v>
                      </c:pt>
                      <c:pt idx="9">
                        <c:v>E10</c:v>
                      </c:pt>
                      <c:pt idx="10">
                        <c:v>E11</c:v>
                      </c:pt>
                      <c:pt idx="11">
                        <c:v>E12</c:v>
                      </c:pt>
                      <c:pt idx="12">
                        <c:v>E13</c:v>
                      </c:pt>
                      <c:pt idx="13">
                        <c:v>E14</c:v>
                      </c:pt>
                      <c:pt idx="14">
                        <c:v>E15</c:v>
                      </c:pt>
                      <c:pt idx="15">
                        <c:v>E16</c:v>
                      </c:pt>
                      <c:pt idx="16">
                        <c:v>E17</c:v>
                      </c:pt>
                      <c:pt idx="17">
                        <c:v>E18</c:v>
                      </c:pt>
                      <c:pt idx="18">
                        <c:v>E19</c:v>
                      </c:pt>
                      <c:pt idx="19">
                        <c:v>E20</c:v>
                      </c:pt>
                      <c:pt idx="20">
                        <c:v>E21</c:v>
                      </c:pt>
                      <c:pt idx="21">
                        <c:v>E22</c:v>
                      </c:pt>
                      <c:pt idx="22">
                        <c:v>E23</c:v>
                      </c:pt>
                      <c:pt idx="23">
                        <c:v>E24</c:v>
                      </c:pt>
                      <c:pt idx="24">
                        <c:v>E25</c:v>
                      </c:pt>
                      <c:pt idx="25">
                        <c:v>E26</c:v>
                      </c:pt>
                      <c:pt idx="26">
                        <c:v>E27</c:v>
                      </c:pt>
                      <c:pt idx="27">
                        <c:v>E28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'Calculation sheet'!$E$2:$E$29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10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5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15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5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4C2E-4B77-873B-394615FC2F0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'Calculation sheet'!$F$1</c15:sqref>
                        </c15:formulaRef>
                      </c:ext>
                    </c:extLst>
                    <c:strCache>
                      <c:ptCount val="1"/>
                      <c:pt idx="0">
                        <c:v>Early_Logout_Min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'Calculation sheet'!$B$2:$B$29</c15:sqref>
                        </c15:formulaRef>
                      </c:ext>
                    </c:extLst>
                    <c:strCache>
                      <c:ptCount val="28"/>
                      <c:pt idx="0">
                        <c:v>E01</c:v>
                      </c:pt>
                      <c:pt idx="1">
                        <c:v>E02</c:v>
                      </c:pt>
                      <c:pt idx="2">
                        <c:v>E03</c:v>
                      </c:pt>
                      <c:pt idx="3">
                        <c:v>E04</c:v>
                      </c:pt>
                      <c:pt idx="4">
                        <c:v>E05</c:v>
                      </c:pt>
                      <c:pt idx="5">
                        <c:v>E06</c:v>
                      </c:pt>
                      <c:pt idx="6">
                        <c:v>E07</c:v>
                      </c:pt>
                      <c:pt idx="7">
                        <c:v>E08</c:v>
                      </c:pt>
                      <c:pt idx="8">
                        <c:v>E09</c:v>
                      </c:pt>
                      <c:pt idx="9">
                        <c:v>E10</c:v>
                      </c:pt>
                      <c:pt idx="10">
                        <c:v>E11</c:v>
                      </c:pt>
                      <c:pt idx="11">
                        <c:v>E12</c:v>
                      </c:pt>
                      <c:pt idx="12">
                        <c:v>E13</c:v>
                      </c:pt>
                      <c:pt idx="13">
                        <c:v>E14</c:v>
                      </c:pt>
                      <c:pt idx="14">
                        <c:v>E15</c:v>
                      </c:pt>
                      <c:pt idx="15">
                        <c:v>E16</c:v>
                      </c:pt>
                      <c:pt idx="16">
                        <c:v>E17</c:v>
                      </c:pt>
                      <c:pt idx="17">
                        <c:v>E18</c:v>
                      </c:pt>
                      <c:pt idx="18">
                        <c:v>E19</c:v>
                      </c:pt>
                      <c:pt idx="19">
                        <c:v>E20</c:v>
                      </c:pt>
                      <c:pt idx="20">
                        <c:v>E21</c:v>
                      </c:pt>
                      <c:pt idx="21">
                        <c:v>E22</c:v>
                      </c:pt>
                      <c:pt idx="22">
                        <c:v>E23</c:v>
                      </c:pt>
                      <c:pt idx="23">
                        <c:v>E24</c:v>
                      </c:pt>
                      <c:pt idx="24">
                        <c:v>E25</c:v>
                      </c:pt>
                      <c:pt idx="25">
                        <c:v>E26</c:v>
                      </c:pt>
                      <c:pt idx="26">
                        <c:v>E27</c:v>
                      </c:pt>
                      <c:pt idx="27">
                        <c:v>E28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'Calculation sheet'!$F$2:$F$29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15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5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4C2E-4B77-873B-394615FC2F04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'Calculation sheet'!$G$1</c15:sqref>
                        </c15:formulaRef>
                      </c:ext>
                    </c:extLst>
                    <c:strCache>
                      <c:ptCount val="1"/>
                      <c:pt idx="0">
                        <c:v>Absent_Flag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'Calculation sheet'!$B$2:$B$29</c15:sqref>
                        </c15:formulaRef>
                      </c:ext>
                    </c:extLst>
                    <c:strCache>
                      <c:ptCount val="28"/>
                      <c:pt idx="0">
                        <c:v>E01</c:v>
                      </c:pt>
                      <c:pt idx="1">
                        <c:v>E02</c:v>
                      </c:pt>
                      <c:pt idx="2">
                        <c:v>E03</c:v>
                      </c:pt>
                      <c:pt idx="3">
                        <c:v>E04</c:v>
                      </c:pt>
                      <c:pt idx="4">
                        <c:v>E05</c:v>
                      </c:pt>
                      <c:pt idx="5">
                        <c:v>E06</c:v>
                      </c:pt>
                      <c:pt idx="6">
                        <c:v>E07</c:v>
                      </c:pt>
                      <c:pt idx="7">
                        <c:v>E08</c:v>
                      </c:pt>
                      <c:pt idx="8">
                        <c:v>E09</c:v>
                      </c:pt>
                      <c:pt idx="9">
                        <c:v>E10</c:v>
                      </c:pt>
                      <c:pt idx="10">
                        <c:v>E11</c:v>
                      </c:pt>
                      <c:pt idx="11">
                        <c:v>E12</c:v>
                      </c:pt>
                      <c:pt idx="12">
                        <c:v>E13</c:v>
                      </c:pt>
                      <c:pt idx="13">
                        <c:v>E14</c:v>
                      </c:pt>
                      <c:pt idx="14">
                        <c:v>E15</c:v>
                      </c:pt>
                      <c:pt idx="15">
                        <c:v>E16</c:v>
                      </c:pt>
                      <c:pt idx="16">
                        <c:v>E17</c:v>
                      </c:pt>
                      <c:pt idx="17">
                        <c:v>E18</c:v>
                      </c:pt>
                      <c:pt idx="18">
                        <c:v>E19</c:v>
                      </c:pt>
                      <c:pt idx="19">
                        <c:v>E20</c:v>
                      </c:pt>
                      <c:pt idx="20">
                        <c:v>E21</c:v>
                      </c:pt>
                      <c:pt idx="21">
                        <c:v>E22</c:v>
                      </c:pt>
                      <c:pt idx="22">
                        <c:v>E23</c:v>
                      </c:pt>
                      <c:pt idx="23">
                        <c:v>E24</c:v>
                      </c:pt>
                      <c:pt idx="24">
                        <c:v>E25</c:v>
                      </c:pt>
                      <c:pt idx="25">
                        <c:v>E26</c:v>
                      </c:pt>
                      <c:pt idx="26">
                        <c:v>E27</c:v>
                      </c:pt>
                      <c:pt idx="27">
                        <c:v>E28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'Calculation sheet'!$G$2:$G$29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0</c:v>
                      </c:pt>
                      <c:pt idx="2">
                        <c:v>1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1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1</c:v>
                      </c:pt>
                      <c:pt idx="11">
                        <c:v>0</c:v>
                      </c:pt>
                      <c:pt idx="12">
                        <c:v>1</c:v>
                      </c:pt>
                      <c:pt idx="13">
                        <c:v>0</c:v>
                      </c:pt>
                      <c:pt idx="14">
                        <c:v>1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1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4C2E-4B77-873B-394615FC2F04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'Calculation sheet'!$H$1</c15:sqref>
                        </c15:formulaRef>
                      </c:ext>
                    </c:extLst>
                    <c:strCache>
                      <c:ptCount val="1"/>
                      <c:pt idx="0">
                        <c:v>Overtime_Hours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'Calculation sheet'!$B$2:$B$29</c15:sqref>
                        </c15:formulaRef>
                      </c:ext>
                    </c:extLst>
                    <c:strCache>
                      <c:ptCount val="28"/>
                      <c:pt idx="0">
                        <c:v>E01</c:v>
                      </c:pt>
                      <c:pt idx="1">
                        <c:v>E02</c:v>
                      </c:pt>
                      <c:pt idx="2">
                        <c:v>E03</c:v>
                      </c:pt>
                      <c:pt idx="3">
                        <c:v>E04</c:v>
                      </c:pt>
                      <c:pt idx="4">
                        <c:v>E05</c:v>
                      </c:pt>
                      <c:pt idx="5">
                        <c:v>E06</c:v>
                      </c:pt>
                      <c:pt idx="6">
                        <c:v>E07</c:v>
                      </c:pt>
                      <c:pt idx="7">
                        <c:v>E08</c:v>
                      </c:pt>
                      <c:pt idx="8">
                        <c:v>E09</c:v>
                      </c:pt>
                      <c:pt idx="9">
                        <c:v>E10</c:v>
                      </c:pt>
                      <c:pt idx="10">
                        <c:v>E11</c:v>
                      </c:pt>
                      <c:pt idx="11">
                        <c:v>E12</c:v>
                      </c:pt>
                      <c:pt idx="12">
                        <c:v>E13</c:v>
                      </c:pt>
                      <c:pt idx="13">
                        <c:v>E14</c:v>
                      </c:pt>
                      <c:pt idx="14">
                        <c:v>E15</c:v>
                      </c:pt>
                      <c:pt idx="15">
                        <c:v>E16</c:v>
                      </c:pt>
                      <c:pt idx="16">
                        <c:v>E17</c:v>
                      </c:pt>
                      <c:pt idx="17">
                        <c:v>E18</c:v>
                      </c:pt>
                      <c:pt idx="18">
                        <c:v>E19</c:v>
                      </c:pt>
                      <c:pt idx="19">
                        <c:v>E20</c:v>
                      </c:pt>
                      <c:pt idx="20">
                        <c:v>E21</c:v>
                      </c:pt>
                      <c:pt idx="21">
                        <c:v>E22</c:v>
                      </c:pt>
                      <c:pt idx="22">
                        <c:v>E23</c:v>
                      </c:pt>
                      <c:pt idx="23">
                        <c:v>E24</c:v>
                      </c:pt>
                      <c:pt idx="24">
                        <c:v>E25</c:v>
                      </c:pt>
                      <c:pt idx="25">
                        <c:v>E26</c:v>
                      </c:pt>
                      <c:pt idx="26">
                        <c:v>E27</c:v>
                      </c:pt>
                      <c:pt idx="27">
                        <c:v>E28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'Calculation sheet'!$H$2:$H$29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1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1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2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0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0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0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4C2E-4B77-873B-394615FC2F04}"/>
                  </c:ext>
                </c:extLst>
              </c15:ser>
            </c15:filteredLineSeries>
          </c:ext>
        </c:extLst>
      </c:lineChart>
      <c:catAx>
        <c:axId val="300673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0674207"/>
        <c:crosses val="autoZero"/>
        <c:auto val="1"/>
        <c:lblAlgn val="ctr"/>
        <c:lblOffset val="100"/>
        <c:noMultiLvlLbl val="0"/>
      </c:catAx>
      <c:valAx>
        <c:axId val="300674207"/>
        <c:scaling>
          <c:orientation val="minMax"/>
          <c:max val="100"/>
          <c:min val="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0673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1287780</xdr:colOff>
      <xdr:row>24</xdr:row>
      <xdr:rowOff>129540</xdr:rowOff>
    </xdr:from>
    <xdr:to>
      <xdr:col>13</xdr:col>
      <xdr:colOff>495300</xdr:colOff>
      <xdr:row>39</xdr:row>
      <xdr:rowOff>129540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163830</xdr:colOff>
      <xdr:row>14</xdr:row>
      <xdr:rowOff>99060</xdr:rowOff>
    </xdr:from>
    <xdr:to>
      <xdr:col>15</xdr:col>
      <xdr:colOff>312420</xdr:colOff>
      <xdr:row>23</xdr:row>
      <xdr:rowOff>137160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194310</xdr:colOff>
      <xdr:row>3</xdr:row>
      <xdr:rowOff>160020</xdr:rowOff>
    </xdr:from>
    <xdr:to>
      <xdr:col>15</xdr:col>
      <xdr:colOff>358140</xdr:colOff>
      <xdr:row>13</xdr:row>
      <xdr:rowOff>121920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281940</xdr:colOff>
      <xdr:row>5</xdr:row>
      <xdr:rowOff>129540</xdr:rowOff>
    </xdr:from>
    <xdr:to>
      <xdr:col>5</xdr:col>
      <xdr:colOff>236220</xdr:colOff>
      <xdr:row>8</xdr:row>
      <xdr:rowOff>106680</xdr:rowOff>
    </xdr:to>
    <xdr:sp macro="" textlink="">
      <xdr:nvSpPr>
        <xdr:cNvPr id="2" name="TextBox 1"/>
        <xdr:cNvSpPr txBox="1"/>
      </xdr:nvSpPr>
      <xdr:spPr>
        <a:xfrm>
          <a:off x="1501140" y="1043940"/>
          <a:ext cx="1783080" cy="525780"/>
        </a:xfrm>
        <a:prstGeom prst="rect">
          <a:avLst/>
        </a:prstGeom>
        <a:solidFill>
          <a:schemeClr val="tx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>
              <a:solidFill>
                <a:schemeClr val="bg1"/>
              </a:solidFill>
            </a:rPr>
            <a:t>Average Adherence- </a:t>
          </a:r>
          <a:r>
            <a:rPr lang="en-IN" baseline="0">
              <a:solidFill>
                <a:schemeClr val="bg1"/>
              </a:solidFill>
            </a:rPr>
            <a:t> </a:t>
          </a:r>
          <a:r>
            <a:rPr lang="en-IN">
              <a:solidFill>
                <a:schemeClr val="bg1"/>
              </a:solidFill>
            </a:rPr>
            <a:t> </a:t>
          </a:r>
          <a:r>
            <a:rPr lang="en-IN" sz="1100">
              <a:solidFill>
                <a:schemeClr val="bg1"/>
              </a:solidFill>
              <a:latin typeface="+mn-lt"/>
              <a:ea typeface="+mn-ea"/>
              <a:cs typeface="+mn-cs"/>
            </a:rPr>
            <a:t>83</a:t>
          </a:r>
          <a:r>
            <a:rPr lang="en-IN">
              <a:solidFill>
                <a:schemeClr val="bg1"/>
              </a:solidFill>
            </a:rPr>
            <a:t>%</a:t>
          </a:r>
          <a:endParaRPr lang="en-IN" sz="1100">
            <a:solidFill>
              <a:schemeClr val="bg1"/>
            </a:solidFill>
          </a:endParaRPr>
        </a:p>
      </xdr:txBody>
    </xdr:sp>
    <xdr:clientData/>
  </xdr:twoCellAnchor>
  <xdr:twoCellAnchor>
    <xdr:from>
      <xdr:col>5</xdr:col>
      <xdr:colOff>327660</xdr:colOff>
      <xdr:row>5</xdr:row>
      <xdr:rowOff>114300</xdr:rowOff>
    </xdr:from>
    <xdr:to>
      <xdr:col>8</xdr:col>
      <xdr:colOff>152400</xdr:colOff>
      <xdr:row>8</xdr:row>
      <xdr:rowOff>91440</xdr:rowOff>
    </xdr:to>
    <xdr:sp macro="" textlink="">
      <xdr:nvSpPr>
        <xdr:cNvPr id="3" name="TextBox 2"/>
        <xdr:cNvSpPr txBox="1"/>
      </xdr:nvSpPr>
      <xdr:spPr>
        <a:xfrm>
          <a:off x="3375660" y="1028700"/>
          <a:ext cx="1653540" cy="525780"/>
        </a:xfrm>
        <a:prstGeom prst="rect">
          <a:avLst/>
        </a:prstGeom>
        <a:solidFill>
          <a:schemeClr val="tx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>
              <a:solidFill>
                <a:schemeClr val="bg1"/>
              </a:solidFill>
            </a:rPr>
            <a:t>Total OT Hours-   15</a:t>
          </a:r>
          <a:endParaRPr lang="en-IN" sz="1100">
            <a:solidFill>
              <a:schemeClr val="bg1"/>
            </a:solidFill>
          </a:endParaRPr>
        </a:p>
      </xdr:txBody>
    </xdr:sp>
    <xdr:clientData/>
  </xdr:twoCellAnchor>
  <xdr:twoCellAnchor>
    <xdr:from>
      <xdr:col>17</xdr:col>
      <xdr:colOff>243840</xdr:colOff>
      <xdr:row>5</xdr:row>
      <xdr:rowOff>99060</xdr:rowOff>
    </xdr:from>
    <xdr:to>
      <xdr:col>19</xdr:col>
      <xdr:colOff>396240</xdr:colOff>
      <xdr:row>8</xdr:row>
      <xdr:rowOff>76200</xdr:rowOff>
    </xdr:to>
    <xdr:sp macro="" textlink="">
      <xdr:nvSpPr>
        <xdr:cNvPr id="4" name="TextBox 3"/>
        <xdr:cNvSpPr txBox="1"/>
      </xdr:nvSpPr>
      <xdr:spPr>
        <a:xfrm>
          <a:off x="10607040" y="1013460"/>
          <a:ext cx="1371600" cy="525780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>
              <a:solidFill>
                <a:schemeClr val="bg1"/>
              </a:solidFill>
            </a:rPr>
            <a:t>Late Login- </a:t>
          </a:r>
          <a:r>
            <a:rPr lang="en-IN" baseline="0">
              <a:solidFill>
                <a:schemeClr val="bg1"/>
              </a:solidFill>
            </a:rPr>
            <a:t> 15%</a:t>
          </a:r>
          <a:endParaRPr lang="en-IN" sz="1100">
            <a:solidFill>
              <a:schemeClr val="bg1"/>
            </a:solidFill>
          </a:endParaRPr>
        </a:p>
      </xdr:txBody>
    </xdr:sp>
    <xdr:clientData/>
  </xdr:twoCellAnchor>
  <xdr:twoCellAnchor>
    <xdr:from>
      <xdr:col>11</xdr:col>
      <xdr:colOff>579120</xdr:colOff>
      <xdr:row>5</xdr:row>
      <xdr:rowOff>121920</xdr:rowOff>
    </xdr:from>
    <xdr:to>
      <xdr:col>14</xdr:col>
      <xdr:colOff>220980</xdr:colOff>
      <xdr:row>8</xdr:row>
      <xdr:rowOff>99060</xdr:rowOff>
    </xdr:to>
    <xdr:sp macro="" textlink="">
      <xdr:nvSpPr>
        <xdr:cNvPr id="5" name="TextBox 4"/>
        <xdr:cNvSpPr txBox="1"/>
      </xdr:nvSpPr>
      <xdr:spPr>
        <a:xfrm>
          <a:off x="7284720" y="1036320"/>
          <a:ext cx="1470660" cy="525780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>
              <a:solidFill>
                <a:schemeClr val="bg1"/>
              </a:solidFill>
            </a:rPr>
            <a:t>Absenteeism- </a:t>
          </a:r>
          <a:r>
            <a:rPr lang="en-IN" baseline="0">
              <a:solidFill>
                <a:schemeClr val="bg1"/>
              </a:solidFill>
            </a:rPr>
            <a:t> </a:t>
          </a:r>
          <a:r>
            <a:rPr lang="en-IN">
              <a:solidFill>
                <a:schemeClr val="bg1"/>
              </a:solidFill>
            </a:rPr>
            <a:t> 21%</a:t>
          </a:r>
          <a:endParaRPr lang="en-IN" sz="110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38100</xdr:colOff>
      <xdr:row>21</xdr:row>
      <xdr:rowOff>175260</xdr:rowOff>
    </xdr:from>
    <xdr:to>
      <xdr:col>19</xdr:col>
      <xdr:colOff>533400</xdr:colOff>
      <xdr:row>37</xdr:row>
      <xdr:rowOff>114300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</xdr:row>
      <xdr:rowOff>15240</xdr:rowOff>
    </xdr:from>
    <xdr:to>
      <xdr:col>19</xdr:col>
      <xdr:colOff>373380</xdr:colOff>
      <xdr:row>5</xdr:row>
      <xdr:rowOff>83820</xdr:rowOff>
    </xdr:to>
    <xdr:sp macro="" textlink="">
      <xdr:nvSpPr>
        <xdr:cNvPr id="9" name="TextBox 8"/>
        <xdr:cNvSpPr txBox="1"/>
      </xdr:nvSpPr>
      <xdr:spPr>
        <a:xfrm>
          <a:off x="0" y="381000"/>
          <a:ext cx="11955780" cy="61722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2000" b="0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Employee Dependability &amp; Attendance Analytics Dashboard.</a:t>
          </a:r>
          <a:endParaRPr lang="en-IN" sz="200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0</xdr:colOff>
      <xdr:row>8</xdr:row>
      <xdr:rowOff>91440</xdr:rowOff>
    </xdr:from>
    <xdr:to>
      <xdr:col>19</xdr:col>
      <xdr:colOff>464820</xdr:colOff>
      <xdr:row>21</xdr:row>
      <xdr:rowOff>167640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281940</xdr:colOff>
      <xdr:row>5</xdr:row>
      <xdr:rowOff>121920</xdr:rowOff>
    </xdr:from>
    <xdr:to>
      <xdr:col>17</xdr:col>
      <xdr:colOff>129540</xdr:colOff>
      <xdr:row>8</xdr:row>
      <xdr:rowOff>99060</xdr:rowOff>
    </xdr:to>
    <xdr:sp macro="" textlink="">
      <xdr:nvSpPr>
        <xdr:cNvPr id="12" name="TextBox 11"/>
        <xdr:cNvSpPr txBox="1"/>
      </xdr:nvSpPr>
      <xdr:spPr>
        <a:xfrm>
          <a:off x="8816340" y="1036320"/>
          <a:ext cx="1676400" cy="525780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>
              <a:solidFill>
                <a:schemeClr val="bg1"/>
              </a:solidFill>
            </a:rPr>
            <a:t>Early</a:t>
          </a:r>
          <a:r>
            <a:rPr lang="en-IN" baseline="0">
              <a:solidFill>
                <a:schemeClr val="bg1"/>
              </a:solidFill>
            </a:rPr>
            <a:t> Logout</a:t>
          </a:r>
          <a:r>
            <a:rPr lang="en-IN">
              <a:solidFill>
                <a:schemeClr val="bg1"/>
              </a:solidFill>
            </a:rPr>
            <a:t>- </a:t>
          </a:r>
          <a:r>
            <a:rPr lang="en-IN" baseline="0">
              <a:solidFill>
                <a:schemeClr val="bg1"/>
              </a:solidFill>
            </a:rPr>
            <a:t> </a:t>
          </a:r>
          <a:r>
            <a:rPr lang="en-IN">
              <a:solidFill>
                <a:schemeClr val="bg1"/>
              </a:solidFill>
            </a:rPr>
            <a:t> 7%</a:t>
          </a:r>
          <a:endParaRPr lang="en-IN" sz="110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0</xdr:colOff>
      <xdr:row>5</xdr:row>
      <xdr:rowOff>106680</xdr:rowOff>
    </xdr:from>
    <xdr:to>
      <xdr:col>2</xdr:col>
      <xdr:colOff>198120</xdr:colOff>
      <xdr:row>8</xdr:row>
      <xdr:rowOff>83820</xdr:rowOff>
    </xdr:to>
    <xdr:sp macro="" textlink="">
      <xdr:nvSpPr>
        <xdr:cNvPr id="14" name="TextBox 13"/>
        <xdr:cNvSpPr txBox="1"/>
      </xdr:nvSpPr>
      <xdr:spPr>
        <a:xfrm>
          <a:off x="0" y="1021080"/>
          <a:ext cx="1417320" cy="525780"/>
        </a:xfrm>
        <a:prstGeom prst="rect">
          <a:avLst/>
        </a:prstGeom>
        <a:solidFill>
          <a:schemeClr val="tx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>
              <a:solidFill>
                <a:schemeClr val="bg1"/>
              </a:solidFill>
            </a:rPr>
            <a:t>Total Employees -28</a:t>
          </a:r>
          <a:r>
            <a:rPr lang="en-IN" baseline="0">
              <a:solidFill>
                <a:schemeClr val="bg1"/>
              </a:solidFill>
            </a:rPr>
            <a:t> </a:t>
          </a:r>
          <a:endParaRPr lang="en-IN" sz="1100">
            <a:solidFill>
              <a:schemeClr val="bg1"/>
            </a:solidFill>
          </a:endParaRPr>
        </a:p>
      </xdr:txBody>
    </xdr:sp>
    <xdr:clientData/>
  </xdr:twoCellAnchor>
  <xdr:twoCellAnchor>
    <xdr:from>
      <xdr:col>8</xdr:col>
      <xdr:colOff>236220</xdr:colOff>
      <xdr:row>5</xdr:row>
      <xdr:rowOff>114300</xdr:rowOff>
    </xdr:from>
    <xdr:to>
      <xdr:col>11</xdr:col>
      <xdr:colOff>472440</xdr:colOff>
      <xdr:row>8</xdr:row>
      <xdr:rowOff>83820</xdr:rowOff>
    </xdr:to>
    <xdr:sp macro="" textlink="">
      <xdr:nvSpPr>
        <xdr:cNvPr id="15" name="TextBox 14"/>
        <xdr:cNvSpPr txBox="1"/>
      </xdr:nvSpPr>
      <xdr:spPr>
        <a:xfrm>
          <a:off x="5113020" y="1028700"/>
          <a:ext cx="2065020" cy="518160"/>
        </a:xfrm>
        <a:prstGeom prst="rect">
          <a:avLst/>
        </a:prstGeom>
        <a:solidFill>
          <a:schemeClr val="tx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>
              <a:solidFill>
                <a:schemeClr val="bg1"/>
              </a:solidFill>
            </a:rPr>
            <a:t>Average Reliability- </a:t>
          </a:r>
          <a:r>
            <a:rPr lang="en-IN" baseline="0">
              <a:solidFill>
                <a:schemeClr val="bg1"/>
              </a:solidFill>
            </a:rPr>
            <a:t> </a:t>
          </a:r>
          <a:r>
            <a:rPr lang="en-IN">
              <a:solidFill>
                <a:schemeClr val="bg1"/>
              </a:solidFill>
            </a:rPr>
            <a:t> </a:t>
          </a:r>
          <a:r>
            <a:rPr lang="en-IN" sz="1100">
              <a:solidFill>
                <a:schemeClr val="bg1"/>
              </a:solidFill>
              <a:latin typeface="+mn-lt"/>
              <a:ea typeface="+mn-ea"/>
              <a:cs typeface="+mn-cs"/>
            </a:rPr>
            <a:t>99.1%</a:t>
          </a:r>
          <a:endParaRPr lang="en-IN" sz="1100">
            <a:solidFill>
              <a:schemeClr val="bg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workbookViewId="0">
      <selection activeCell="K15" sqref="K15"/>
    </sheetView>
  </sheetViews>
  <sheetFormatPr defaultRowHeight="14.4" x14ac:dyDescent="0.3"/>
  <cols>
    <col min="1" max="1" width="12" customWidth="1"/>
    <col min="4" max="4" width="14.109375" customWidth="1"/>
    <col min="5" max="5" width="12.88671875" customWidth="1"/>
    <col min="6" max="7" width="12.77734375" customWidth="1"/>
    <col min="8" max="8" width="12.5546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>
        <v>45292</v>
      </c>
      <c r="B2" t="s">
        <v>8</v>
      </c>
      <c r="C2">
        <v>8</v>
      </c>
      <c r="D2">
        <v>8</v>
      </c>
      <c r="E2">
        <v>0</v>
      </c>
      <c r="F2">
        <v>0</v>
      </c>
      <c r="G2">
        <v>0</v>
      </c>
      <c r="H2">
        <v>0</v>
      </c>
    </row>
    <row r="3" spans="1:8" x14ac:dyDescent="0.3">
      <c r="A3" s="1">
        <v>45292</v>
      </c>
      <c r="B3" t="s">
        <v>9</v>
      </c>
      <c r="C3">
        <v>8</v>
      </c>
      <c r="D3">
        <v>7</v>
      </c>
      <c r="E3">
        <v>10</v>
      </c>
      <c r="F3">
        <v>0</v>
      </c>
      <c r="G3">
        <v>0</v>
      </c>
      <c r="H3">
        <v>0</v>
      </c>
    </row>
    <row r="4" spans="1:8" x14ac:dyDescent="0.3">
      <c r="A4" s="1">
        <v>45292</v>
      </c>
      <c r="B4" t="s">
        <v>10</v>
      </c>
      <c r="C4">
        <v>8</v>
      </c>
      <c r="D4">
        <v>0</v>
      </c>
      <c r="E4">
        <v>0</v>
      </c>
      <c r="F4">
        <v>0</v>
      </c>
      <c r="G4">
        <v>1</v>
      </c>
      <c r="H4">
        <v>0</v>
      </c>
    </row>
    <row r="5" spans="1:8" x14ac:dyDescent="0.3">
      <c r="A5" s="1">
        <v>45292</v>
      </c>
      <c r="B5" t="s">
        <v>11</v>
      </c>
      <c r="C5">
        <v>8</v>
      </c>
      <c r="D5">
        <v>9</v>
      </c>
      <c r="E5">
        <v>0</v>
      </c>
      <c r="F5">
        <v>0</v>
      </c>
      <c r="G5">
        <v>0</v>
      </c>
      <c r="H5">
        <v>1</v>
      </c>
    </row>
    <row r="6" spans="1:8" x14ac:dyDescent="0.3">
      <c r="A6" s="1">
        <v>45293</v>
      </c>
      <c r="B6" t="s">
        <v>8</v>
      </c>
      <c r="C6">
        <v>8</v>
      </c>
      <c r="D6">
        <v>8</v>
      </c>
      <c r="E6">
        <v>0</v>
      </c>
      <c r="F6">
        <v>15</v>
      </c>
      <c r="G6">
        <v>0</v>
      </c>
      <c r="H6">
        <v>0</v>
      </c>
    </row>
    <row r="7" spans="1:8" x14ac:dyDescent="0.3">
      <c r="A7" s="1">
        <v>45293</v>
      </c>
      <c r="B7" t="s">
        <v>9</v>
      </c>
      <c r="C7">
        <v>8</v>
      </c>
      <c r="D7">
        <v>6</v>
      </c>
      <c r="E7">
        <v>5</v>
      </c>
      <c r="F7">
        <v>0</v>
      </c>
      <c r="G7">
        <v>0</v>
      </c>
      <c r="H7">
        <v>0</v>
      </c>
    </row>
    <row r="8" spans="1:8" x14ac:dyDescent="0.3">
      <c r="A8" s="1">
        <v>45293</v>
      </c>
      <c r="B8" t="s">
        <v>10</v>
      </c>
      <c r="C8">
        <v>8</v>
      </c>
      <c r="D8">
        <v>0</v>
      </c>
      <c r="E8">
        <v>0</v>
      </c>
      <c r="F8">
        <v>0</v>
      </c>
      <c r="G8">
        <v>1</v>
      </c>
      <c r="H8">
        <v>0</v>
      </c>
    </row>
    <row r="9" spans="1:8" x14ac:dyDescent="0.3">
      <c r="A9" s="1">
        <v>45293</v>
      </c>
      <c r="B9" t="s">
        <v>11</v>
      </c>
      <c r="C9">
        <v>8</v>
      </c>
      <c r="D9">
        <v>9</v>
      </c>
      <c r="E9">
        <v>0</v>
      </c>
      <c r="F9">
        <v>0</v>
      </c>
      <c r="G9">
        <v>0</v>
      </c>
      <c r="H9">
        <v>1</v>
      </c>
    </row>
    <row r="10" spans="1:8" x14ac:dyDescent="0.3">
      <c r="A10" s="1">
        <v>45294</v>
      </c>
      <c r="B10" t="s">
        <v>8</v>
      </c>
      <c r="C10">
        <v>8</v>
      </c>
      <c r="D10">
        <v>7</v>
      </c>
      <c r="E10">
        <v>0</v>
      </c>
      <c r="F10">
        <v>0</v>
      </c>
      <c r="G10">
        <v>0</v>
      </c>
      <c r="H10">
        <v>0</v>
      </c>
    </row>
    <row r="11" spans="1:8" x14ac:dyDescent="0.3">
      <c r="A11" s="1">
        <v>45294</v>
      </c>
      <c r="B11" t="s">
        <v>9</v>
      </c>
      <c r="C11">
        <v>8</v>
      </c>
      <c r="D11">
        <v>8</v>
      </c>
      <c r="E11">
        <v>0</v>
      </c>
      <c r="F11">
        <v>0</v>
      </c>
      <c r="G11">
        <v>0</v>
      </c>
      <c r="H11">
        <v>0</v>
      </c>
    </row>
    <row r="12" spans="1:8" x14ac:dyDescent="0.3">
      <c r="A12" s="1">
        <v>45294</v>
      </c>
      <c r="B12" t="s">
        <v>10</v>
      </c>
      <c r="C12">
        <v>8</v>
      </c>
      <c r="D12">
        <v>0</v>
      </c>
      <c r="E12">
        <v>0</v>
      </c>
      <c r="F12">
        <v>0</v>
      </c>
      <c r="G12">
        <v>1</v>
      </c>
      <c r="H12">
        <v>0</v>
      </c>
    </row>
    <row r="13" spans="1:8" x14ac:dyDescent="0.3">
      <c r="A13" s="1">
        <v>45294</v>
      </c>
      <c r="B13" t="s">
        <v>11</v>
      </c>
      <c r="C13">
        <v>8</v>
      </c>
      <c r="D13">
        <v>10</v>
      </c>
      <c r="E13">
        <v>0</v>
      </c>
      <c r="F13">
        <v>0</v>
      </c>
      <c r="G13">
        <v>0</v>
      </c>
      <c r="H13">
        <v>2</v>
      </c>
    </row>
    <row r="14" spans="1:8" x14ac:dyDescent="0.3">
      <c r="A14" s="1">
        <v>45295</v>
      </c>
      <c r="B14" t="s">
        <v>8</v>
      </c>
      <c r="C14">
        <v>8</v>
      </c>
      <c r="D14">
        <v>8</v>
      </c>
      <c r="E14">
        <v>0</v>
      </c>
      <c r="F14">
        <v>0</v>
      </c>
      <c r="G14">
        <v>0</v>
      </c>
      <c r="H14">
        <v>0</v>
      </c>
    </row>
    <row r="15" spans="1:8" x14ac:dyDescent="0.3">
      <c r="A15" s="1">
        <v>45295</v>
      </c>
      <c r="B15" t="s">
        <v>9</v>
      </c>
      <c r="C15">
        <v>8</v>
      </c>
      <c r="D15">
        <v>7</v>
      </c>
      <c r="E15">
        <v>15</v>
      </c>
      <c r="F15">
        <v>0</v>
      </c>
      <c r="G15">
        <v>0</v>
      </c>
      <c r="H15">
        <v>0</v>
      </c>
    </row>
    <row r="16" spans="1:8" x14ac:dyDescent="0.3">
      <c r="A16" s="1">
        <v>45295</v>
      </c>
      <c r="B16" t="s">
        <v>10</v>
      </c>
      <c r="C16">
        <v>8</v>
      </c>
      <c r="D16">
        <v>0</v>
      </c>
      <c r="E16">
        <v>0</v>
      </c>
      <c r="F16">
        <v>0</v>
      </c>
      <c r="G16">
        <v>1</v>
      </c>
      <c r="H16">
        <v>0</v>
      </c>
    </row>
    <row r="17" spans="1:8" x14ac:dyDescent="0.3">
      <c r="A17" s="1">
        <v>45295</v>
      </c>
      <c r="B17" t="s">
        <v>11</v>
      </c>
      <c r="C17">
        <v>8</v>
      </c>
      <c r="D17">
        <v>9</v>
      </c>
      <c r="E17">
        <v>0</v>
      </c>
      <c r="F17">
        <v>0</v>
      </c>
      <c r="G17">
        <v>0</v>
      </c>
      <c r="H17">
        <v>1</v>
      </c>
    </row>
    <row r="18" spans="1:8" x14ac:dyDescent="0.3">
      <c r="A18" s="1">
        <v>45296</v>
      </c>
      <c r="B18" t="s">
        <v>12</v>
      </c>
      <c r="C18">
        <v>8</v>
      </c>
      <c r="D18">
        <v>9</v>
      </c>
      <c r="E18">
        <v>0</v>
      </c>
      <c r="F18">
        <v>0</v>
      </c>
      <c r="G18">
        <v>0</v>
      </c>
      <c r="H18">
        <v>1</v>
      </c>
    </row>
    <row r="19" spans="1:8" x14ac:dyDescent="0.3">
      <c r="A19" s="1">
        <v>45297</v>
      </c>
      <c r="B19" t="s">
        <v>13</v>
      </c>
      <c r="C19">
        <v>8</v>
      </c>
      <c r="D19">
        <v>9</v>
      </c>
      <c r="E19">
        <v>0</v>
      </c>
      <c r="F19">
        <v>0</v>
      </c>
      <c r="G19">
        <v>0</v>
      </c>
      <c r="H19">
        <v>1</v>
      </c>
    </row>
    <row r="20" spans="1:8" x14ac:dyDescent="0.3">
      <c r="A20" s="1">
        <v>45298</v>
      </c>
      <c r="B20" t="s">
        <v>14</v>
      </c>
      <c r="C20">
        <v>8</v>
      </c>
      <c r="D20">
        <v>7</v>
      </c>
      <c r="E20">
        <v>0</v>
      </c>
      <c r="F20">
        <v>0</v>
      </c>
      <c r="G20">
        <v>0</v>
      </c>
      <c r="H20">
        <v>0</v>
      </c>
    </row>
    <row r="21" spans="1:8" x14ac:dyDescent="0.3">
      <c r="A21" s="1">
        <v>45299</v>
      </c>
      <c r="B21" t="s">
        <v>15</v>
      </c>
      <c r="C21">
        <v>8</v>
      </c>
      <c r="D21">
        <v>9</v>
      </c>
      <c r="E21">
        <v>0</v>
      </c>
      <c r="F21">
        <v>0</v>
      </c>
      <c r="G21">
        <v>0</v>
      </c>
      <c r="H21">
        <v>1</v>
      </c>
    </row>
    <row r="22" spans="1:8" x14ac:dyDescent="0.3">
      <c r="A22" s="1">
        <v>45300</v>
      </c>
      <c r="B22" t="s">
        <v>16</v>
      </c>
      <c r="C22">
        <v>8</v>
      </c>
      <c r="D22">
        <v>9</v>
      </c>
      <c r="E22">
        <v>0</v>
      </c>
      <c r="F22">
        <v>0</v>
      </c>
      <c r="G22">
        <v>0</v>
      </c>
      <c r="H22">
        <v>1</v>
      </c>
    </row>
    <row r="23" spans="1:8" x14ac:dyDescent="0.3">
      <c r="A23" s="1">
        <v>45301</v>
      </c>
      <c r="B23" t="s">
        <v>17</v>
      </c>
      <c r="C23">
        <v>8</v>
      </c>
      <c r="D23">
        <v>8</v>
      </c>
      <c r="E23">
        <v>10</v>
      </c>
      <c r="F23">
        <v>0</v>
      </c>
      <c r="G23">
        <v>0</v>
      </c>
      <c r="H23">
        <v>0</v>
      </c>
    </row>
    <row r="24" spans="1:8" x14ac:dyDescent="0.3">
      <c r="A24" s="1">
        <v>45302</v>
      </c>
      <c r="B24" t="s">
        <v>18</v>
      </c>
      <c r="C24">
        <v>8</v>
      </c>
      <c r="D24">
        <v>9</v>
      </c>
      <c r="E24">
        <v>0</v>
      </c>
      <c r="F24">
        <v>5</v>
      </c>
      <c r="G24">
        <v>0</v>
      </c>
      <c r="H24">
        <v>1</v>
      </c>
    </row>
    <row r="25" spans="1:8" x14ac:dyDescent="0.3">
      <c r="A25" s="1">
        <v>45303</v>
      </c>
      <c r="B25" t="s">
        <v>19</v>
      </c>
      <c r="C25">
        <v>8</v>
      </c>
      <c r="D25">
        <v>9</v>
      </c>
      <c r="E25">
        <v>0</v>
      </c>
      <c r="F25">
        <v>0</v>
      </c>
      <c r="G25">
        <v>0</v>
      </c>
      <c r="H25">
        <v>1</v>
      </c>
    </row>
    <row r="26" spans="1:8" x14ac:dyDescent="0.3">
      <c r="A26" s="1">
        <v>45304</v>
      </c>
      <c r="B26" t="s">
        <v>20</v>
      </c>
      <c r="C26">
        <v>8</v>
      </c>
      <c r="D26">
        <v>8</v>
      </c>
      <c r="E26">
        <v>0</v>
      </c>
      <c r="F26">
        <v>0</v>
      </c>
      <c r="G26">
        <v>0</v>
      </c>
      <c r="H26">
        <v>0</v>
      </c>
    </row>
    <row r="27" spans="1:8" x14ac:dyDescent="0.3">
      <c r="A27" s="1">
        <v>45305</v>
      </c>
      <c r="B27" t="s">
        <v>21</v>
      </c>
      <c r="C27">
        <v>8</v>
      </c>
      <c r="D27">
        <v>9</v>
      </c>
      <c r="E27">
        <v>5</v>
      </c>
      <c r="F27">
        <v>0</v>
      </c>
      <c r="G27">
        <v>0</v>
      </c>
      <c r="H27">
        <v>1</v>
      </c>
    </row>
    <row r="28" spans="1:8" x14ac:dyDescent="0.3">
      <c r="A28" s="1">
        <v>45306</v>
      </c>
      <c r="B28" t="s">
        <v>22</v>
      </c>
      <c r="C28">
        <v>8</v>
      </c>
      <c r="D28">
        <v>9</v>
      </c>
      <c r="E28">
        <v>0</v>
      </c>
      <c r="F28">
        <v>0</v>
      </c>
      <c r="G28">
        <v>0</v>
      </c>
      <c r="H28">
        <v>1</v>
      </c>
    </row>
    <row r="29" spans="1:8" x14ac:dyDescent="0.3">
      <c r="A29" s="1">
        <v>45307</v>
      </c>
      <c r="B29" t="s">
        <v>23</v>
      </c>
      <c r="C29">
        <v>8</v>
      </c>
      <c r="D29">
        <v>10</v>
      </c>
      <c r="E29">
        <v>0</v>
      </c>
      <c r="F29">
        <v>0</v>
      </c>
      <c r="G29">
        <v>0</v>
      </c>
      <c r="H29">
        <v>2</v>
      </c>
    </row>
    <row r="30" spans="1:8" x14ac:dyDescent="0.3">
      <c r="A30" s="1">
        <v>45308</v>
      </c>
      <c r="B30" t="s">
        <v>24</v>
      </c>
      <c r="C30">
        <v>8</v>
      </c>
      <c r="D30">
        <v>9</v>
      </c>
      <c r="E30">
        <v>6</v>
      </c>
      <c r="F30">
        <v>0</v>
      </c>
      <c r="G30">
        <v>0</v>
      </c>
      <c r="H30">
        <v>1</v>
      </c>
    </row>
    <row r="31" spans="1:8" x14ac:dyDescent="0.3">
      <c r="A31" s="1">
        <v>45309</v>
      </c>
      <c r="B31" t="s">
        <v>25</v>
      </c>
      <c r="C31">
        <v>8</v>
      </c>
      <c r="D31">
        <v>9</v>
      </c>
      <c r="E31">
        <v>0</v>
      </c>
      <c r="F31">
        <v>0</v>
      </c>
      <c r="G31">
        <v>0</v>
      </c>
      <c r="H3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tabSelected="1" workbookViewId="0">
      <selection activeCell="I31" sqref="I31"/>
    </sheetView>
  </sheetViews>
  <sheetFormatPr defaultRowHeight="14.4" x14ac:dyDescent="0.3"/>
  <cols>
    <col min="1" max="1" width="12.77734375" customWidth="1"/>
    <col min="2" max="2" width="7.33203125" customWidth="1"/>
    <col min="3" max="3" width="7.109375" customWidth="1"/>
    <col min="4" max="4" width="9.6640625" customWidth="1"/>
    <col min="5" max="5" width="8.33203125" customWidth="1"/>
    <col min="6" max="6" width="9" customWidth="1"/>
    <col min="7" max="7" width="6.6640625" customWidth="1"/>
    <col min="8" max="8" width="7.88671875" customWidth="1"/>
    <col min="9" max="9" width="4.33203125" customWidth="1"/>
    <col min="10" max="10" width="29.21875" customWidth="1"/>
    <col min="11" max="11" width="21.109375" customWidth="1"/>
    <col min="12" max="12" width="13.77734375" customWidth="1"/>
    <col min="13" max="13" width="14.1093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32</v>
      </c>
    </row>
    <row r="2" spans="1:11" x14ac:dyDescent="0.3">
      <c r="A2" s="1">
        <v>45292</v>
      </c>
      <c r="B2" t="s">
        <v>33</v>
      </c>
      <c r="C2">
        <v>8</v>
      </c>
      <c r="D2">
        <v>8</v>
      </c>
      <c r="E2">
        <v>0</v>
      </c>
      <c r="F2">
        <v>0</v>
      </c>
      <c r="G2">
        <v>0</v>
      </c>
      <c r="H2">
        <v>0</v>
      </c>
      <c r="I2">
        <f>100-(G2*0.5)-(E2*0.2)-(F2*0.1)</f>
        <v>100</v>
      </c>
    </row>
    <row r="3" spans="1:11" x14ac:dyDescent="0.3">
      <c r="A3" s="1">
        <v>45292</v>
      </c>
      <c r="B3" t="s">
        <v>34</v>
      </c>
      <c r="C3">
        <v>8</v>
      </c>
      <c r="D3">
        <v>7</v>
      </c>
      <c r="E3">
        <v>10</v>
      </c>
      <c r="F3">
        <v>0</v>
      </c>
      <c r="G3">
        <v>0</v>
      </c>
      <c r="H3">
        <v>0</v>
      </c>
      <c r="I3">
        <f t="shared" ref="I3:I29" si="0">100-(G3*0.5)-(E3*0.2)-(F3*0.1)</f>
        <v>98</v>
      </c>
    </row>
    <row r="4" spans="1:11" x14ac:dyDescent="0.3">
      <c r="A4" s="1">
        <v>45292</v>
      </c>
      <c r="B4" t="s">
        <v>35</v>
      </c>
      <c r="C4">
        <v>8</v>
      </c>
      <c r="D4">
        <v>0</v>
      </c>
      <c r="E4">
        <v>0</v>
      </c>
      <c r="F4">
        <v>0</v>
      </c>
      <c r="G4">
        <v>1</v>
      </c>
      <c r="H4">
        <v>0</v>
      </c>
      <c r="I4">
        <f t="shared" si="0"/>
        <v>99.5</v>
      </c>
    </row>
    <row r="5" spans="1:11" x14ac:dyDescent="0.3">
      <c r="A5" s="1">
        <v>45292</v>
      </c>
      <c r="B5" t="s">
        <v>36</v>
      </c>
      <c r="C5">
        <v>8</v>
      </c>
      <c r="D5">
        <v>9</v>
      </c>
      <c r="E5">
        <v>0</v>
      </c>
      <c r="F5">
        <v>0</v>
      </c>
      <c r="G5">
        <v>0</v>
      </c>
      <c r="H5">
        <v>1</v>
      </c>
      <c r="I5">
        <f t="shared" si="0"/>
        <v>100</v>
      </c>
      <c r="J5" t="s">
        <v>31</v>
      </c>
      <c r="K5">
        <v>28</v>
      </c>
    </row>
    <row r="6" spans="1:11" x14ac:dyDescent="0.3">
      <c r="A6" s="1">
        <v>45292</v>
      </c>
      <c r="B6" t="s">
        <v>37</v>
      </c>
      <c r="C6">
        <v>8</v>
      </c>
      <c r="D6">
        <v>8</v>
      </c>
      <c r="E6">
        <v>0</v>
      </c>
      <c r="F6">
        <v>15</v>
      </c>
      <c r="G6">
        <v>0</v>
      </c>
      <c r="H6">
        <v>0</v>
      </c>
      <c r="I6">
        <f t="shared" si="0"/>
        <v>98.5</v>
      </c>
    </row>
    <row r="7" spans="1:11" x14ac:dyDescent="0.3">
      <c r="A7" s="1">
        <v>45292</v>
      </c>
      <c r="B7" t="s">
        <v>38</v>
      </c>
      <c r="C7">
        <v>8</v>
      </c>
      <c r="D7">
        <v>6</v>
      </c>
      <c r="E7">
        <v>5</v>
      </c>
      <c r="F7">
        <v>0</v>
      </c>
      <c r="G7">
        <v>0</v>
      </c>
      <c r="H7">
        <v>0</v>
      </c>
      <c r="I7">
        <f t="shared" si="0"/>
        <v>99</v>
      </c>
    </row>
    <row r="8" spans="1:11" x14ac:dyDescent="0.3">
      <c r="A8" s="1">
        <v>45292</v>
      </c>
      <c r="B8" t="s">
        <v>39</v>
      </c>
      <c r="C8">
        <v>8</v>
      </c>
      <c r="D8">
        <v>0</v>
      </c>
      <c r="E8">
        <v>0</v>
      </c>
      <c r="F8">
        <v>0</v>
      </c>
      <c r="G8">
        <v>1</v>
      </c>
      <c r="H8">
        <v>0</v>
      </c>
      <c r="I8">
        <f t="shared" si="0"/>
        <v>99.5</v>
      </c>
    </row>
    <row r="9" spans="1:11" x14ac:dyDescent="0.3">
      <c r="A9" s="1">
        <v>45292</v>
      </c>
      <c r="B9" t="s">
        <v>40</v>
      </c>
      <c r="C9">
        <v>8</v>
      </c>
      <c r="D9">
        <v>9</v>
      </c>
      <c r="E9">
        <v>0</v>
      </c>
      <c r="F9">
        <v>0</v>
      </c>
      <c r="G9">
        <v>0</v>
      </c>
      <c r="H9">
        <v>1</v>
      </c>
      <c r="I9">
        <f t="shared" si="0"/>
        <v>100</v>
      </c>
      <c r="J9" t="s">
        <v>26</v>
      </c>
      <c r="K9" s="2" t="s">
        <v>27</v>
      </c>
    </row>
    <row r="10" spans="1:11" x14ac:dyDescent="0.3">
      <c r="A10" s="1">
        <v>45292</v>
      </c>
      <c r="B10" t="s">
        <v>41</v>
      </c>
      <c r="C10">
        <v>8</v>
      </c>
      <c r="D10">
        <v>7</v>
      </c>
      <c r="E10">
        <v>0</v>
      </c>
      <c r="F10">
        <v>0</v>
      </c>
      <c r="G10">
        <v>0</v>
      </c>
      <c r="H10">
        <v>0</v>
      </c>
      <c r="I10">
        <f t="shared" si="0"/>
        <v>100</v>
      </c>
      <c r="J10">
        <f>G30*100/K5</f>
        <v>21.428571428571427</v>
      </c>
      <c r="K10">
        <f>D30*100/C30</f>
        <v>82.589285714285708</v>
      </c>
    </row>
    <row r="11" spans="1:11" x14ac:dyDescent="0.3">
      <c r="A11" s="1">
        <v>45292</v>
      </c>
      <c r="B11" t="s">
        <v>42</v>
      </c>
      <c r="C11">
        <v>8</v>
      </c>
      <c r="D11">
        <v>8</v>
      </c>
      <c r="E11">
        <v>0</v>
      </c>
      <c r="F11">
        <v>0</v>
      </c>
      <c r="G11">
        <v>0</v>
      </c>
      <c r="H11">
        <v>0</v>
      </c>
      <c r="I11">
        <f t="shared" si="0"/>
        <v>100</v>
      </c>
    </row>
    <row r="12" spans="1:11" x14ac:dyDescent="0.3">
      <c r="A12" s="1">
        <v>45292</v>
      </c>
      <c r="B12" t="s">
        <v>43</v>
      </c>
      <c r="C12">
        <v>8</v>
      </c>
      <c r="D12">
        <v>0</v>
      </c>
      <c r="E12">
        <v>0</v>
      </c>
      <c r="F12">
        <v>0</v>
      </c>
      <c r="G12">
        <v>1</v>
      </c>
      <c r="H12">
        <v>0</v>
      </c>
      <c r="I12">
        <f t="shared" si="0"/>
        <v>99.5</v>
      </c>
    </row>
    <row r="13" spans="1:11" x14ac:dyDescent="0.3">
      <c r="A13" s="1">
        <v>45292</v>
      </c>
      <c r="B13" t="s">
        <v>44</v>
      </c>
      <c r="C13">
        <v>8</v>
      </c>
      <c r="D13">
        <v>10</v>
      </c>
      <c r="E13">
        <v>0</v>
      </c>
      <c r="F13">
        <v>0</v>
      </c>
      <c r="G13">
        <v>0</v>
      </c>
      <c r="H13">
        <v>2</v>
      </c>
      <c r="I13">
        <f t="shared" si="0"/>
        <v>100</v>
      </c>
    </row>
    <row r="14" spans="1:11" x14ac:dyDescent="0.3">
      <c r="A14" s="1">
        <v>45292</v>
      </c>
      <c r="B14" t="s">
        <v>45</v>
      </c>
      <c r="C14">
        <v>8</v>
      </c>
      <c r="D14">
        <v>0</v>
      </c>
      <c r="E14">
        <v>0</v>
      </c>
      <c r="F14">
        <v>0</v>
      </c>
      <c r="G14">
        <v>1</v>
      </c>
      <c r="H14">
        <v>0</v>
      </c>
      <c r="I14">
        <f t="shared" si="0"/>
        <v>99.5</v>
      </c>
      <c r="J14" t="s">
        <v>30</v>
      </c>
      <c r="K14" t="s">
        <v>28</v>
      </c>
    </row>
    <row r="15" spans="1:11" x14ac:dyDescent="0.3">
      <c r="A15" s="1">
        <v>45292</v>
      </c>
      <c r="B15" t="s">
        <v>46</v>
      </c>
      <c r="C15">
        <v>8</v>
      </c>
      <c r="D15">
        <v>7</v>
      </c>
      <c r="E15">
        <v>15</v>
      </c>
      <c r="F15">
        <v>0</v>
      </c>
      <c r="G15">
        <v>0</v>
      </c>
      <c r="H15">
        <v>0</v>
      </c>
      <c r="I15">
        <f t="shared" si="0"/>
        <v>97</v>
      </c>
      <c r="J15">
        <f>4*100/27</f>
        <v>14.814814814814815</v>
      </c>
      <c r="K15">
        <f>F30*100/K5</f>
        <v>7.1428571428571432</v>
      </c>
    </row>
    <row r="16" spans="1:11" x14ac:dyDescent="0.3">
      <c r="A16" s="1">
        <v>45292</v>
      </c>
      <c r="B16" t="s">
        <v>47</v>
      </c>
      <c r="C16">
        <v>8</v>
      </c>
      <c r="D16">
        <v>0</v>
      </c>
      <c r="E16">
        <v>0</v>
      </c>
      <c r="F16">
        <v>0</v>
      </c>
      <c r="G16">
        <v>1</v>
      </c>
      <c r="H16">
        <v>0</v>
      </c>
      <c r="I16">
        <f t="shared" si="0"/>
        <v>99.5</v>
      </c>
    </row>
    <row r="17" spans="1:10" x14ac:dyDescent="0.3">
      <c r="A17" s="1">
        <v>45292</v>
      </c>
      <c r="B17" t="s">
        <v>48</v>
      </c>
      <c r="C17">
        <v>8</v>
      </c>
      <c r="D17">
        <v>9</v>
      </c>
      <c r="E17">
        <v>0</v>
      </c>
      <c r="F17">
        <v>0</v>
      </c>
      <c r="G17">
        <v>0</v>
      </c>
      <c r="H17">
        <v>1</v>
      </c>
      <c r="I17">
        <f t="shared" si="0"/>
        <v>100</v>
      </c>
    </row>
    <row r="18" spans="1:10" x14ac:dyDescent="0.3">
      <c r="A18" s="1">
        <v>45292</v>
      </c>
      <c r="B18" t="s">
        <v>49</v>
      </c>
      <c r="C18">
        <v>8</v>
      </c>
      <c r="D18">
        <v>9</v>
      </c>
      <c r="E18">
        <v>0</v>
      </c>
      <c r="F18">
        <v>0</v>
      </c>
      <c r="G18">
        <v>0</v>
      </c>
      <c r="H18">
        <v>1</v>
      </c>
      <c r="I18">
        <f t="shared" si="0"/>
        <v>100</v>
      </c>
      <c r="J18" t="s">
        <v>29</v>
      </c>
    </row>
    <row r="19" spans="1:10" x14ac:dyDescent="0.3">
      <c r="A19" s="1">
        <v>45292</v>
      </c>
      <c r="B19" t="s">
        <v>50</v>
      </c>
      <c r="C19">
        <v>8</v>
      </c>
      <c r="D19">
        <v>9</v>
      </c>
      <c r="E19">
        <v>0</v>
      </c>
      <c r="F19">
        <v>0</v>
      </c>
      <c r="G19">
        <v>0</v>
      </c>
      <c r="H19">
        <v>1</v>
      </c>
      <c r="I19">
        <f t="shared" si="0"/>
        <v>100</v>
      </c>
    </row>
    <row r="20" spans="1:10" x14ac:dyDescent="0.3">
      <c r="A20" s="1">
        <v>45292</v>
      </c>
      <c r="B20" t="s">
        <v>51</v>
      </c>
      <c r="C20">
        <v>8</v>
      </c>
      <c r="D20">
        <v>7</v>
      </c>
      <c r="E20">
        <v>0</v>
      </c>
      <c r="F20">
        <v>0</v>
      </c>
      <c r="G20">
        <v>0</v>
      </c>
      <c r="H20">
        <v>0</v>
      </c>
      <c r="I20">
        <f t="shared" si="0"/>
        <v>100</v>
      </c>
    </row>
    <row r="21" spans="1:10" x14ac:dyDescent="0.3">
      <c r="A21" s="1">
        <v>45292</v>
      </c>
      <c r="B21" t="s">
        <v>52</v>
      </c>
      <c r="C21">
        <v>8</v>
      </c>
      <c r="D21">
        <v>9</v>
      </c>
      <c r="E21">
        <v>0</v>
      </c>
      <c r="F21">
        <v>0</v>
      </c>
      <c r="G21">
        <v>0</v>
      </c>
      <c r="H21">
        <v>1</v>
      </c>
      <c r="I21">
        <f t="shared" si="0"/>
        <v>100</v>
      </c>
    </row>
    <row r="22" spans="1:10" x14ac:dyDescent="0.3">
      <c r="A22" s="1">
        <v>45292</v>
      </c>
      <c r="B22" t="s">
        <v>53</v>
      </c>
      <c r="C22">
        <v>8</v>
      </c>
      <c r="D22">
        <v>9</v>
      </c>
      <c r="E22">
        <v>0</v>
      </c>
      <c r="F22">
        <v>0</v>
      </c>
      <c r="G22">
        <v>0</v>
      </c>
      <c r="H22">
        <v>1</v>
      </c>
      <c r="I22">
        <f t="shared" si="0"/>
        <v>100</v>
      </c>
    </row>
    <row r="23" spans="1:10" x14ac:dyDescent="0.3">
      <c r="A23" s="1">
        <v>45292</v>
      </c>
      <c r="B23" t="s">
        <v>54</v>
      </c>
      <c r="C23">
        <v>8</v>
      </c>
      <c r="D23">
        <v>0</v>
      </c>
      <c r="E23">
        <v>0</v>
      </c>
      <c r="F23">
        <v>0</v>
      </c>
      <c r="G23">
        <v>1</v>
      </c>
      <c r="H23">
        <v>0</v>
      </c>
      <c r="I23">
        <f t="shared" si="0"/>
        <v>99.5</v>
      </c>
    </row>
    <row r="24" spans="1:10" x14ac:dyDescent="0.3">
      <c r="A24" s="1">
        <v>45292</v>
      </c>
      <c r="B24" t="s">
        <v>55</v>
      </c>
      <c r="C24">
        <v>8</v>
      </c>
      <c r="D24">
        <v>9</v>
      </c>
      <c r="E24">
        <v>0</v>
      </c>
      <c r="F24">
        <v>5</v>
      </c>
      <c r="G24">
        <v>0</v>
      </c>
      <c r="H24">
        <v>1</v>
      </c>
      <c r="I24">
        <f t="shared" si="0"/>
        <v>99.5</v>
      </c>
    </row>
    <row r="25" spans="1:10" x14ac:dyDescent="0.3">
      <c r="A25" s="1">
        <v>45292</v>
      </c>
      <c r="B25" t="s">
        <v>56</v>
      </c>
      <c r="C25">
        <v>8</v>
      </c>
      <c r="D25">
        <v>9</v>
      </c>
      <c r="E25">
        <v>0</v>
      </c>
      <c r="F25">
        <v>0</v>
      </c>
      <c r="G25">
        <v>0</v>
      </c>
      <c r="H25">
        <v>1</v>
      </c>
      <c r="I25">
        <f t="shared" si="0"/>
        <v>100</v>
      </c>
    </row>
    <row r="26" spans="1:10" x14ac:dyDescent="0.3">
      <c r="A26" s="1">
        <v>45292</v>
      </c>
      <c r="B26" t="s">
        <v>57</v>
      </c>
      <c r="C26">
        <v>8</v>
      </c>
      <c r="D26">
        <v>8</v>
      </c>
      <c r="E26">
        <v>0</v>
      </c>
      <c r="F26">
        <v>0</v>
      </c>
      <c r="G26">
        <v>0</v>
      </c>
      <c r="H26">
        <v>0</v>
      </c>
      <c r="I26">
        <f t="shared" si="0"/>
        <v>100</v>
      </c>
    </row>
    <row r="27" spans="1:10" x14ac:dyDescent="0.3">
      <c r="A27" s="1">
        <v>45292</v>
      </c>
      <c r="B27" t="s">
        <v>58</v>
      </c>
      <c r="C27">
        <v>8</v>
      </c>
      <c r="D27">
        <v>9</v>
      </c>
      <c r="E27">
        <v>5</v>
      </c>
      <c r="F27">
        <v>0</v>
      </c>
      <c r="G27">
        <v>0</v>
      </c>
      <c r="H27">
        <v>1</v>
      </c>
      <c r="I27">
        <f t="shared" si="0"/>
        <v>99</v>
      </c>
    </row>
    <row r="28" spans="1:10" x14ac:dyDescent="0.3">
      <c r="A28" s="1">
        <v>45292</v>
      </c>
      <c r="B28" t="s">
        <v>59</v>
      </c>
      <c r="C28">
        <v>8</v>
      </c>
      <c r="D28">
        <v>9</v>
      </c>
      <c r="E28">
        <v>0</v>
      </c>
      <c r="F28">
        <v>0</v>
      </c>
      <c r="G28">
        <v>0</v>
      </c>
      <c r="H28">
        <v>1</v>
      </c>
      <c r="I28">
        <f>100-(G28*0.5)-(E28*0.2)-(F28*0.1)</f>
        <v>100</v>
      </c>
    </row>
    <row r="29" spans="1:10" x14ac:dyDescent="0.3">
      <c r="A29" s="1">
        <v>45292</v>
      </c>
      <c r="B29" t="s">
        <v>60</v>
      </c>
      <c r="C29">
        <v>8</v>
      </c>
      <c r="D29">
        <v>10</v>
      </c>
      <c r="E29">
        <v>0</v>
      </c>
      <c r="F29">
        <v>0</v>
      </c>
      <c r="G29">
        <v>0</v>
      </c>
      <c r="H29">
        <v>2</v>
      </c>
      <c r="I29">
        <f t="shared" si="0"/>
        <v>100</v>
      </c>
    </row>
    <row r="30" spans="1:10" x14ac:dyDescent="0.3">
      <c r="A30" s="1"/>
      <c r="C30">
        <f>SUM(C2:C29)</f>
        <v>224</v>
      </c>
      <c r="D30">
        <f>SUM(D2:D29)</f>
        <v>185</v>
      </c>
      <c r="E30">
        <f>COUNTIF(E2:E29,"&gt;1")</f>
        <v>4</v>
      </c>
      <c r="F30">
        <f>COUNTIF(F2:F29,"&gt;1")</f>
        <v>2</v>
      </c>
      <c r="G30">
        <f>SUM(G2:G29)</f>
        <v>6</v>
      </c>
      <c r="H30">
        <f>SUM(H2:H29)</f>
        <v>15</v>
      </c>
      <c r="I30">
        <f>AVERAGE(I2:I29)</f>
        <v>99.571428571428569</v>
      </c>
    </row>
    <row r="31" spans="1:10" x14ac:dyDescent="0.3">
      <c r="A31" s="1"/>
      <c r="B31">
        <f>COUNTA(B2:B29)</f>
        <v>28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3" workbookViewId="0">
      <selection activeCell="V9" sqref="V9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dependability</vt:lpstr>
      <vt:lpstr>Calculation sheet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2025-11-21T17:55:19Z</dcterms:created>
  <dcterms:modified xsi:type="dcterms:W3CDTF">2025-11-21T17:55:19Z</dcterms:modified>
</cp:coreProperties>
</file>